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18fd154012d76cb/Desktop/Claude/Work/Enbridge/Jake/"/>
    </mc:Choice>
  </mc:AlternateContent>
  <xr:revisionPtr revIDLastSave="3" documentId="11_1437A59CB76D82B729835991AA711C1E63BA757E" xr6:coauthVersionLast="47" xr6:coauthVersionMax="47" xr10:uidLastSave="{316807C8-F247-4A82-90BC-F314D6EAACAF}"/>
  <bookViews>
    <workbookView xWindow="-108" yWindow="-108" windowWidth="23256" windowHeight="12456" firstSheet="1" activeTab="4" xr2:uid="{00000000-000D-0000-FFFF-FFFF00000000}"/>
  </bookViews>
  <sheets>
    <sheet name="Read Me &amp; Sources" sheetId="1" r:id="rId1"/>
    <sheet name="DATA - Imports &amp; Exports" sheetId="2" r:id="rId2"/>
    <sheet name="DATA - Pipelines" sheetId="3" r:id="rId3"/>
    <sheet name="DATA - Refiner Demand" sheetId="4" r:id="rId4"/>
    <sheet name="SOUR - Supply" sheetId="5" r:id="rId5"/>
    <sheet name="SOUR - Balance" sheetId="6" r:id="rId6"/>
    <sheet name="HEAVY - Refiners" sheetId="7" r:id="rId7"/>
    <sheet name="HEAVY - Balance" sheetId="8" r:id="rId8"/>
    <sheet name="Seasonal Normal (10-yr)" sheetId="9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5" l="1"/>
  <c r="I24" i="9"/>
  <c r="H24" i="9"/>
  <c r="D24" i="9"/>
  <c r="C24" i="9"/>
  <c r="B24" i="9"/>
  <c r="I23" i="9"/>
  <c r="H23" i="9"/>
  <c r="G23" i="9"/>
  <c r="F23" i="9"/>
  <c r="E23" i="9"/>
  <c r="I22" i="9"/>
  <c r="H22" i="9"/>
  <c r="G22" i="9"/>
  <c r="F22" i="9"/>
  <c r="E22" i="9"/>
  <c r="I21" i="9"/>
  <c r="H21" i="9"/>
  <c r="G21" i="9"/>
  <c r="F21" i="9"/>
  <c r="E21" i="9"/>
  <c r="I20" i="9"/>
  <c r="H20" i="9"/>
  <c r="G20" i="9"/>
  <c r="F20" i="9"/>
  <c r="E20" i="9"/>
  <c r="I19" i="9"/>
  <c r="H19" i="9"/>
  <c r="G19" i="9"/>
  <c r="F19" i="9"/>
  <c r="E19" i="9"/>
  <c r="I18" i="9"/>
  <c r="H18" i="9"/>
  <c r="G18" i="9"/>
  <c r="F18" i="9"/>
  <c r="E18" i="9"/>
  <c r="I17" i="9"/>
  <c r="H17" i="9"/>
  <c r="G17" i="9"/>
  <c r="F17" i="9"/>
  <c r="E17" i="9"/>
  <c r="I16" i="9"/>
  <c r="H16" i="9"/>
  <c r="G16" i="9"/>
  <c r="F16" i="9"/>
  <c r="E16" i="9"/>
  <c r="I15" i="9"/>
  <c r="H15" i="9"/>
  <c r="G15" i="9"/>
  <c r="F15" i="9"/>
  <c r="F24" i="9" s="1"/>
  <c r="E15" i="9"/>
  <c r="I14" i="9"/>
  <c r="H14" i="9"/>
  <c r="G14" i="9"/>
  <c r="F14" i="9"/>
  <c r="E14" i="9"/>
  <c r="E24" i="9" s="1"/>
  <c r="I13" i="9"/>
  <c r="H13" i="9"/>
  <c r="G13" i="9"/>
  <c r="F13" i="9"/>
  <c r="E13" i="9"/>
  <c r="I12" i="9"/>
  <c r="H12" i="9"/>
  <c r="G12" i="9"/>
  <c r="G24" i="9" s="1"/>
  <c r="F12" i="9"/>
  <c r="E12" i="9"/>
  <c r="F31" i="8"/>
  <c r="E31" i="8"/>
  <c r="F30" i="8"/>
  <c r="E30" i="8"/>
  <c r="D30" i="8"/>
  <c r="F29" i="8"/>
  <c r="E29" i="8"/>
  <c r="D29" i="8"/>
  <c r="C29" i="8"/>
  <c r="B29" i="8"/>
  <c r="F28" i="8"/>
  <c r="E28" i="8"/>
  <c r="D28" i="8"/>
  <c r="C28" i="8"/>
  <c r="B28" i="8"/>
  <c r="F27" i="8"/>
  <c r="E27" i="8"/>
  <c r="D27" i="8"/>
  <c r="C27" i="8"/>
  <c r="B27" i="8"/>
  <c r="F26" i="8"/>
  <c r="E26" i="8"/>
  <c r="D26" i="8"/>
  <c r="C26" i="8"/>
  <c r="B26" i="8"/>
  <c r="F25" i="8"/>
  <c r="E25" i="8"/>
  <c r="D25" i="8"/>
  <c r="C25" i="8"/>
  <c r="B25" i="8"/>
  <c r="F24" i="8"/>
  <c r="E24" i="8"/>
  <c r="D24" i="8"/>
  <c r="C24" i="8"/>
  <c r="B24" i="8"/>
  <c r="F10" i="8"/>
  <c r="E10" i="8"/>
  <c r="B10" i="8"/>
  <c r="D9" i="8"/>
  <c r="B9" i="8"/>
  <c r="F7" i="8"/>
  <c r="F9" i="8" s="1"/>
  <c r="F11" i="8" s="1"/>
  <c r="E7" i="8"/>
  <c r="E9" i="8" s="1"/>
  <c r="D7" i="8"/>
  <c r="C7" i="8"/>
  <c r="C9" i="8" s="1"/>
  <c r="B7" i="8"/>
  <c r="F6" i="8"/>
  <c r="E6" i="8"/>
  <c r="D6" i="8"/>
  <c r="F5" i="8"/>
  <c r="E5" i="8"/>
  <c r="D5" i="8"/>
  <c r="C5" i="8"/>
  <c r="B5" i="8"/>
  <c r="B11" i="8" s="1"/>
  <c r="M21" i="7"/>
  <c r="E21" i="7"/>
  <c r="F21" i="7" s="1"/>
  <c r="D21" i="7"/>
  <c r="M20" i="7"/>
  <c r="K20" i="7"/>
  <c r="G20" i="7"/>
  <c r="E20" i="7"/>
  <c r="F20" i="7" s="1"/>
  <c r="D20" i="7"/>
  <c r="M19" i="7"/>
  <c r="K19" i="7"/>
  <c r="J19" i="7"/>
  <c r="I19" i="7"/>
  <c r="G19" i="7"/>
  <c r="E19" i="7"/>
  <c r="F19" i="7" s="1"/>
  <c r="D19" i="7"/>
  <c r="M18" i="7"/>
  <c r="G18" i="7"/>
  <c r="E18" i="7"/>
  <c r="F18" i="7" s="1"/>
  <c r="D18" i="7"/>
  <c r="M17" i="7"/>
  <c r="K17" i="7"/>
  <c r="H17" i="7"/>
  <c r="G17" i="7"/>
  <c r="F17" i="7"/>
  <c r="E17" i="7"/>
  <c r="D17" i="7"/>
  <c r="M16" i="7"/>
  <c r="K16" i="7"/>
  <c r="J16" i="7"/>
  <c r="I16" i="7"/>
  <c r="E16" i="7"/>
  <c r="F16" i="7" s="1"/>
  <c r="D16" i="7"/>
  <c r="M15" i="7"/>
  <c r="H15" i="7"/>
  <c r="E15" i="7"/>
  <c r="F15" i="7" s="1"/>
  <c r="D15" i="7"/>
  <c r="M14" i="7"/>
  <c r="K14" i="7"/>
  <c r="I14" i="7"/>
  <c r="H14" i="7"/>
  <c r="G14" i="7"/>
  <c r="F14" i="7"/>
  <c r="E14" i="7"/>
  <c r="D14" i="7"/>
  <c r="M13" i="7"/>
  <c r="K13" i="7"/>
  <c r="J13" i="7"/>
  <c r="E13" i="7"/>
  <c r="F13" i="7" s="1"/>
  <c r="D13" i="7"/>
  <c r="M12" i="7"/>
  <c r="I12" i="7"/>
  <c r="H12" i="7"/>
  <c r="E12" i="7"/>
  <c r="F12" i="7" s="1"/>
  <c r="D12" i="7"/>
  <c r="M11" i="7"/>
  <c r="J11" i="7"/>
  <c r="I11" i="7"/>
  <c r="H11" i="7"/>
  <c r="G11" i="7"/>
  <c r="F11" i="7"/>
  <c r="E11" i="7"/>
  <c r="D11" i="7"/>
  <c r="M10" i="7"/>
  <c r="J10" i="7"/>
  <c r="E10" i="7"/>
  <c r="F10" i="7" s="1"/>
  <c r="D10" i="7"/>
  <c r="M9" i="7"/>
  <c r="J9" i="7"/>
  <c r="I9" i="7"/>
  <c r="H9" i="7"/>
  <c r="E9" i="7"/>
  <c r="F9" i="7" s="1"/>
  <c r="D9" i="7"/>
  <c r="M8" i="7"/>
  <c r="K8" i="7"/>
  <c r="J8" i="7"/>
  <c r="I8" i="7"/>
  <c r="H8" i="7"/>
  <c r="G8" i="7"/>
  <c r="E8" i="7"/>
  <c r="F8" i="7" s="1"/>
  <c r="D8" i="7"/>
  <c r="M7" i="7"/>
  <c r="K7" i="7"/>
  <c r="J7" i="7"/>
  <c r="E7" i="7"/>
  <c r="F7" i="7" s="1"/>
  <c r="D7" i="7"/>
  <c r="M6" i="7"/>
  <c r="K6" i="7"/>
  <c r="J6" i="7"/>
  <c r="I6" i="7"/>
  <c r="E6" i="7"/>
  <c r="E22" i="7" s="1"/>
  <c r="F22" i="7" s="1"/>
  <c r="D6" i="7"/>
  <c r="D22" i="7" s="1"/>
  <c r="M5" i="7"/>
  <c r="E5" i="7"/>
  <c r="F5" i="7" s="1"/>
  <c r="D5" i="7"/>
  <c r="E15" i="6"/>
  <c r="E8" i="6"/>
  <c r="D8" i="6"/>
  <c r="C8" i="6"/>
  <c r="E7" i="6"/>
  <c r="D7" i="6"/>
  <c r="C7" i="6"/>
  <c r="B7" i="6"/>
  <c r="D5" i="6"/>
  <c r="C5" i="6"/>
  <c r="B5" i="6"/>
  <c r="H28" i="5"/>
  <c r="F8" i="6" s="1"/>
  <c r="G28" i="5"/>
  <c r="F28" i="5"/>
  <c r="E28" i="5"/>
  <c r="D28" i="5"/>
  <c r="B8" i="6" s="1"/>
  <c r="H25" i="5"/>
  <c r="F9" i="6" s="1"/>
  <c r="D25" i="5"/>
  <c r="B9" i="6" s="1"/>
  <c r="H24" i="5"/>
  <c r="F7" i="6" s="1"/>
  <c r="G24" i="5"/>
  <c r="F24" i="5"/>
  <c r="E24" i="5"/>
  <c r="D24" i="5"/>
  <c r="H21" i="5"/>
  <c r="G21" i="5"/>
  <c r="H20" i="5"/>
  <c r="F6" i="6" s="1"/>
  <c r="G20" i="5"/>
  <c r="E6" i="6" s="1"/>
  <c r="H16" i="5"/>
  <c r="F5" i="6" s="1"/>
  <c r="G16" i="5"/>
  <c r="E5" i="6" s="1"/>
  <c r="F16" i="5"/>
  <c r="E16" i="5"/>
  <c r="D16" i="5"/>
  <c r="H15" i="5"/>
  <c r="G15" i="5"/>
  <c r="F15" i="5"/>
  <c r="H13" i="5"/>
  <c r="G13" i="5"/>
  <c r="F13" i="5"/>
  <c r="E13" i="5"/>
  <c r="D13" i="5"/>
  <c r="D15" i="5" s="1"/>
  <c r="F36" i="4"/>
  <c r="E36" i="4"/>
  <c r="D36" i="4"/>
  <c r="C36" i="4"/>
  <c r="B36" i="4"/>
  <c r="E31" i="4"/>
  <c r="D31" i="4"/>
  <c r="U30" i="4"/>
  <c r="T30" i="4"/>
  <c r="S30" i="4"/>
  <c r="R30" i="4"/>
  <c r="P30" i="4"/>
  <c r="K21" i="7" s="1"/>
  <c r="O30" i="4"/>
  <c r="J21" i="7" s="1"/>
  <c r="N30" i="4"/>
  <c r="I21" i="7" s="1"/>
  <c r="M30" i="4"/>
  <c r="H21" i="7" s="1"/>
  <c r="L30" i="4"/>
  <c r="G21" i="7" s="1"/>
  <c r="F30" i="4"/>
  <c r="Q29" i="4"/>
  <c r="P29" i="4"/>
  <c r="U29" i="4" s="1"/>
  <c r="O29" i="4"/>
  <c r="T29" i="4" s="1"/>
  <c r="N29" i="4"/>
  <c r="S29" i="4" s="1"/>
  <c r="M29" i="4"/>
  <c r="R29" i="4" s="1"/>
  <c r="L29" i="4"/>
  <c r="F29" i="4"/>
  <c r="U28" i="4"/>
  <c r="T28" i="4"/>
  <c r="S28" i="4"/>
  <c r="R28" i="4"/>
  <c r="P28" i="4"/>
  <c r="O28" i="4"/>
  <c r="N28" i="4"/>
  <c r="M28" i="4"/>
  <c r="H19" i="7" s="1"/>
  <c r="L28" i="4"/>
  <c r="Q28" i="4" s="1"/>
  <c r="F28" i="4"/>
  <c r="U27" i="4"/>
  <c r="T27" i="4"/>
  <c r="S27" i="4"/>
  <c r="Q27" i="4"/>
  <c r="P27" i="4"/>
  <c r="K18" i="7" s="1"/>
  <c r="O27" i="4"/>
  <c r="J18" i="7" s="1"/>
  <c r="N27" i="4"/>
  <c r="I18" i="7" s="1"/>
  <c r="M27" i="4"/>
  <c r="R27" i="4" s="1"/>
  <c r="L27" i="4"/>
  <c r="F27" i="4"/>
  <c r="R26" i="4"/>
  <c r="Q26" i="4"/>
  <c r="P26" i="4"/>
  <c r="U26" i="4" s="1"/>
  <c r="O26" i="4"/>
  <c r="T26" i="4" s="1"/>
  <c r="N26" i="4"/>
  <c r="S26" i="4" s="1"/>
  <c r="M26" i="4"/>
  <c r="L26" i="4"/>
  <c r="F26" i="4"/>
  <c r="U25" i="4"/>
  <c r="T25" i="4"/>
  <c r="S25" i="4"/>
  <c r="P25" i="4"/>
  <c r="O25" i="4"/>
  <c r="N25" i="4"/>
  <c r="M25" i="4"/>
  <c r="H16" i="7" s="1"/>
  <c r="L25" i="4"/>
  <c r="G16" i="7" s="1"/>
  <c r="F25" i="4"/>
  <c r="U24" i="4"/>
  <c r="T24" i="4"/>
  <c r="R24" i="4"/>
  <c r="Q24" i="4"/>
  <c r="P24" i="4"/>
  <c r="K15" i="7" s="1"/>
  <c r="O24" i="4"/>
  <c r="J15" i="7" s="1"/>
  <c r="N24" i="4"/>
  <c r="I15" i="7" s="1"/>
  <c r="M24" i="4"/>
  <c r="L24" i="4"/>
  <c r="G15" i="7" s="1"/>
  <c r="F24" i="4"/>
  <c r="S23" i="4"/>
  <c r="R23" i="4"/>
  <c r="Q23" i="4"/>
  <c r="P23" i="4"/>
  <c r="U23" i="4" s="1"/>
  <c r="O23" i="4"/>
  <c r="J14" i="7" s="1"/>
  <c r="N23" i="4"/>
  <c r="M23" i="4"/>
  <c r="L23" i="4"/>
  <c r="F23" i="4"/>
  <c r="U22" i="4"/>
  <c r="T22" i="4"/>
  <c r="P22" i="4"/>
  <c r="O22" i="4"/>
  <c r="N22" i="4"/>
  <c r="S22" i="4" s="1"/>
  <c r="M22" i="4"/>
  <c r="R22" i="4" s="1"/>
  <c r="L22" i="4"/>
  <c r="Q22" i="4" s="1"/>
  <c r="F22" i="4"/>
  <c r="U21" i="4"/>
  <c r="S21" i="4"/>
  <c r="R21" i="4"/>
  <c r="Q21" i="4"/>
  <c r="P21" i="4"/>
  <c r="K12" i="7" s="1"/>
  <c r="O21" i="4"/>
  <c r="J12" i="7" s="1"/>
  <c r="N21" i="4"/>
  <c r="M21" i="4"/>
  <c r="L21" i="4"/>
  <c r="G12" i="7" s="1"/>
  <c r="F21" i="4"/>
  <c r="T20" i="4"/>
  <c r="S20" i="4"/>
  <c r="R20" i="4"/>
  <c r="Q20" i="4"/>
  <c r="P20" i="4"/>
  <c r="U20" i="4" s="1"/>
  <c r="O20" i="4"/>
  <c r="N20" i="4"/>
  <c r="M20" i="4"/>
  <c r="L20" i="4"/>
  <c r="F20" i="4"/>
  <c r="U19" i="4"/>
  <c r="P19" i="4"/>
  <c r="K10" i="7" s="1"/>
  <c r="O19" i="4"/>
  <c r="T19" i="4" s="1"/>
  <c r="N19" i="4"/>
  <c r="S19" i="4" s="1"/>
  <c r="M19" i="4"/>
  <c r="R19" i="4" s="1"/>
  <c r="L19" i="4"/>
  <c r="Q19" i="4" s="1"/>
  <c r="F19" i="4"/>
  <c r="T18" i="4"/>
  <c r="S18" i="4"/>
  <c r="R18" i="4"/>
  <c r="Q18" i="4"/>
  <c r="P18" i="4"/>
  <c r="U18" i="4" s="1"/>
  <c r="O18" i="4"/>
  <c r="N18" i="4"/>
  <c r="M18" i="4"/>
  <c r="L18" i="4"/>
  <c r="G9" i="7" s="1"/>
  <c r="F18" i="4"/>
  <c r="U17" i="4"/>
  <c r="T17" i="4"/>
  <c r="S17" i="4"/>
  <c r="R17" i="4"/>
  <c r="Q17" i="4"/>
  <c r="P17" i="4"/>
  <c r="O17" i="4"/>
  <c r="N17" i="4"/>
  <c r="M17" i="4"/>
  <c r="L17" i="4"/>
  <c r="F17" i="4"/>
  <c r="P16" i="4"/>
  <c r="U16" i="4" s="1"/>
  <c r="O16" i="4"/>
  <c r="T16" i="4" s="1"/>
  <c r="N16" i="4"/>
  <c r="I7" i="7" s="1"/>
  <c r="M16" i="4"/>
  <c r="R16" i="4" s="1"/>
  <c r="L16" i="4"/>
  <c r="G7" i="7" s="1"/>
  <c r="F16" i="4"/>
  <c r="U15" i="4"/>
  <c r="T15" i="4"/>
  <c r="S15" i="4"/>
  <c r="R15" i="4"/>
  <c r="Q15" i="4"/>
  <c r="P15" i="4"/>
  <c r="O15" i="4"/>
  <c r="N15" i="4"/>
  <c r="M15" i="4"/>
  <c r="H6" i="7" s="1"/>
  <c r="L15" i="4"/>
  <c r="G6" i="7" s="1"/>
  <c r="F15" i="4"/>
  <c r="U14" i="4"/>
  <c r="T14" i="4"/>
  <c r="S14" i="4"/>
  <c r="R14" i="4"/>
  <c r="P14" i="4"/>
  <c r="K5" i="7" s="1"/>
  <c r="O14" i="4"/>
  <c r="O31" i="4" s="1"/>
  <c r="E37" i="4" s="1"/>
  <c r="N14" i="4"/>
  <c r="N31" i="4" s="1"/>
  <c r="D37" i="4" s="1"/>
  <c r="M14" i="4"/>
  <c r="H5" i="7" s="1"/>
  <c r="L14" i="4"/>
  <c r="G5" i="7" s="1"/>
  <c r="F14" i="4"/>
  <c r="E26" i="3"/>
  <c r="I24" i="3"/>
  <c r="I26" i="3" s="1"/>
  <c r="H24" i="3"/>
  <c r="H26" i="3" s="1"/>
  <c r="G24" i="3"/>
  <c r="G26" i="3" s="1"/>
  <c r="F24" i="3"/>
  <c r="F26" i="3" s="1"/>
  <c r="E24" i="3"/>
  <c r="D24" i="3"/>
  <c r="H12" i="3"/>
  <c r="G12" i="3"/>
  <c r="D15" i="6" s="1"/>
  <c r="F12" i="3"/>
  <c r="C15" i="6" s="1"/>
  <c r="I11" i="3"/>
  <c r="H11" i="3"/>
  <c r="G11" i="3"/>
  <c r="F11" i="3"/>
  <c r="E11" i="3"/>
  <c r="D11" i="3"/>
  <c r="E12" i="3" s="1"/>
  <c r="B15" i="6" s="1"/>
  <c r="H67" i="2"/>
  <c r="G67" i="2"/>
  <c r="F67" i="2"/>
  <c r="E67" i="2"/>
  <c r="D67" i="2"/>
  <c r="H66" i="2"/>
  <c r="G66" i="2"/>
  <c r="F66" i="2"/>
  <c r="D10" i="8" s="1"/>
  <c r="E66" i="2"/>
  <c r="C10" i="8" s="1"/>
  <c r="D66" i="2"/>
  <c r="H65" i="2"/>
  <c r="G65" i="2"/>
  <c r="G25" i="5" s="1"/>
  <c r="E9" i="6" s="1"/>
  <c r="F65" i="2"/>
  <c r="F25" i="5" s="1"/>
  <c r="D9" i="6" s="1"/>
  <c r="E65" i="2"/>
  <c r="E25" i="5" s="1"/>
  <c r="C9" i="6" s="1"/>
  <c r="D65" i="2"/>
  <c r="H36" i="2"/>
  <c r="G36" i="2"/>
  <c r="F36" i="2"/>
  <c r="E36" i="2"/>
  <c r="D36" i="2"/>
  <c r="H35" i="2"/>
  <c r="G35" i="2"/>
  <c r="F35" i="2"/>
  <c r="F21" i="5" s="1"/>
  <c r="E35" i="2"/>
  <c r="C6" i="8" s="1"/>
  <c r="D35" i="2"/>
  <c r="B6" i="8" s="1"/>
  <c r="H34" i="2"/>
  <c r="G34" i="2"/>
  <c r="F34" i="2"/>
  <c r="F20" i="5" s="1"/>
  <c r="E34" i="2"/>
  <c r="E20" i="5" s="1"/>
  <c r="D34" i="2"/>
  <c r="D20" i="5" s="1"/>
  <c r="B6" i="6" l="1"/>
  <c r="D30" i="5"/>
  <c r="B10" i="6" s="1"/>
  <c r="C11" i="8"/>
  <c r="D6" i="6"/>
  <c r="F30" i="5"/>
  <c r="D10" i="6" s="1"/>
  <c r="D11" i="8"/>
  <c r="E13" i="8"/>
  <c r="E39" i="4"/>
  <c r="E38" i="4"/>
  <c r="E40" i="4" s="1"/>
  <c r="E11" i="8"/>
  <c r="C6" i="6"/>
  <c r="E30" i="5"/>
  <c r="C10" i="6" s="1"/>
  <c r="D13" i="8"/>
  <c r="D39" i="4"/>
  <c r="D38" i="4"/>
  <c r="D40" i="4" s="1"/>
  <c r="U31" i="4"/>
  <c r="F6" i="7"/>
  <c r="K9" i="7"/>
  <c r="K22" i="7" s="1"/>
  <c r="G13" i="7"/>
  <c r="H20" i="7"/>
  <c r="H13" i="7"/>
  <c r="I20" i="7"/>
  <c r="B30" i="8"/>
  <c r="P31" i="4"/>
  <c r="F37" i="4" s="1"/>
  <c r="H18" i="7"/>
  <c r="I12" i="3"/>
  <c r="F15" i="6" s="1"/>
  <c r="G30" i="5"/>
  <c r="E10" i="6" s="1"/>
  <c r="Q14" i="4"/>
  <c r="T21" i="4"/>
  <c r="S24" i="4"/>
  <c r="S31" i="4" s="1"/>
  <c r="Q30" i="4"/>
  <c r="H30" i="5"/>
  <c r="F10" i="6" s="1"/>
  <c r="K11" i="7"/>
  <c r="I13" i="7"/>
  <c r="J20" i="7"/>
  <c r="C30" i="8"/>
  <c r="B31" i="8"/>
  <c r="G10" i="7"/>
  <c r="G22" i="7" s="1"/>
  <c r="H10" i="7"/>
  <c r="I17" i="7"/>
  <c r="I10" i="7"/>
  <c r="J17" i="7"/>
  <c r="C31" i="8"/>
  <c r="D31" i="8"/>
  <c r="Q16" i="4"/>
  <c r="L31" i="4"/>
  <c r="B37" i="4" s="1"/>
  <c r="M31" i="4"/>
  <c r="C37" i="4" s="1"/>
  <c r="D21" i="5"/>
  <c r="I5" i="7"/>
  <c r="Q25" i="4"/>
  <c r="E21" i="5"/>
  <c r="J5" i="7"/>
  <c r="J22" i="7" s="1"/>
  <c r="H7" i="7"/>
  <c r="H22" i="7" s="1"/>
  <c r="T23" i="4"/>
  <c r="T31" i="4" s="1"/>
  <c r="S16" i="4"/>
  <c r="R25" i="4"/>
  <c r="R31" i="4" s="1"/>
  <c r="I22" i="7" l="1"/>
  <c r="C13" i="8"/>
  <c r="C39" i="4"/>
  <c r="C38" i="4"/>
  <c r="C40" i="4" s="1"/>
  <c r="B13" i="8"/>
  <c r="B39" i="4"/>
  <c r="B38" i="4"/>
  <c r="B40" i="4" s="1"/>
  <c r="D42" i="4"/>
  <c r="Q31" i="4"/>
  <c r="F39" i="4"/>
  <c r="F38" i="4"/>
  <c r="F40" i="4" s="1"/>
  <c r="F13" i="8"/>
  <c r="E42" i="4"/>
  <c r="B42" i="4" l="1"/>
  <c r="C42" i="4"/>
  <c r="E12" i="6"/>
  <c r="E12" i="8"/>
  <c r="E14" i="8" s="1"/>
  <c r="E41" i="4"/>
  <c r="E11" i="6" s="1"/>
  <c r="E13" i="6" s="1"/>
  <c r="D12" i="6"/>
  <c r="D12" i="8"/>
  <c r="D14" i="8" s="1"/>
  <c r="D41" i="4"/>
  <c r="D11" i="6" s="1"/>
  <c r="D13" i="6" s="1"/>
  <c r="F42" i="4"/>
  <c r="F12" i="6" l="1"/>
  <c r="F12" i="8"/>
  <c r="F14" i="8" s="1"/>
  <c r="F41" i="4"/>
  <c r="F11" i="6" s="1"/>
  <c r="F13" i="6" s="1"/>
  <c r="C12" i="6"/>
  <c r="C12" i="8"/>
  <c r="C14" i="8" s="1"/>
  <c r="C41" i="4"/>
  <c r="C11" i="6" s="1"/>
  <c r="C13" i="6" s="1"/>
  <c r="B41" i="4"/>
  <c r="B11" i="6" s="1"/>
  <c r="B13" i="6" s="1"/>
  <c r="B12" i="6"/>
  <c r="B12" i="8"/>
  <c r="B14" i="8" s="1"/>
</calcChain>
</file>

<file path=xl/sharedStrings.xml><?xml version="1.0" encoding="utf-8"?>
<sst xmlns="http://schemas.openxmlformats.org/spreadsheetml/2006/main" count="580" uniqueCount="368">
  <si>
    <t>PADD 3 Sour Crude  -  Supply / Demand Model</t>
  </si>
  <si>
    <t>MONTH BY MONTH  |  Jan 2026 - May 2026  |  all figures thousand bbl/day (kbd) unless noted</t>
  </si>
  <si>
    <t>PURPOSE</t>
  </si>
  <si>
    <t>Monthly supply / demand balance for medium &amp; heavy SOUR crude in PADD 3 (US Gulf Coast).</t>
  </si>
  <si>
    <t>Tabs are grouped by colored sections:  GREY 'DATA' tabs = shared inputs feeding both balances (trade grades, pipelines, refinery demand engine).</t>
  </si>
  <si>
    <t>BLUE 'SOUR' tabs = sour supply build-up + sour balance.  RED 'HEAVY' tabs = heavy refiner view + heavy balance.  TEAL = 10-yr seasonal reference.</t>
  </si>
  <si>
    <t>100% native Excel: every total is a live formula. No macros, no Python needed to open or run it.</t>
  </si>
  <si>
    <t>Months: Jan-Mar use EIA monthly actuals. Apr-May refiner demand uses EIA WEEKLY actuals (utilization ramping ~95-97%).</t>
  </si>
  <si>
    <t>Apr-May GoM production, slate sulfur and pipeline throughput are still estimates (orange) - not yet in EIA monthly.</t>
  </si>
  <si>
    <t>COLOR CODE</t>
  </si>
  <si>
    <t>Blue text</t>
  </si>
  <si>
    <t>Hardcoded INPUT you can change (scraped data / your estimates)</t>
  </si>
  <si>
    <t>Black text</t>
  </si>
  <si>
    <t>Formula / calculation - do not overtype</t>
  </si>
  <si>
    <t>Green text</t>
  </si>
  <si>
    <t>Link pulling from another tab</t>
  </si>
  <si>
    <t>Yellow fill</t>
  </si>
  <si>
    <t>Key assumption to review</t>
  </si>
  <si>
    <t>Orange fill</t>
  </si>
  <si>
    <t>Estimate month (Apr/May) - replace with EIA actual when published</t>
  </si>
  <si>
    <t>KEY DEFINITIONS</t>
  </si>
  <si>
    <t>Sour  = crude with sulfur &gt; 0.5 wt% (this model = GoM medium/heavy sour pool + sour imports).</t>
  </si>
  <si>
    <t>Heavy = heavy crude, roughly API &lt; 24 (a subset of sour). Heavy share sits next to Sour share on the Refiner Demand tab.</t>
  </si>
  <si>
    <t>DATA SOURCE MAP</t>
  </si>
  <si>
    <t>Line item</t>
  </si>
  <si>
    <t>Primary source</t>
  </si>
  <si>
    <t>EIA series / reference</t>
  </si>
  <si>
    <t>Frequency</t>
  </si>
  <si>
    <t>Status</t>
  </si>
  <si>
    <t>GoM offshore total production</t>
  </si>
  <si>
    <t>EIA Petroleum Supply Monthly</t>
  </si>
  <si>
    <t>Federal Offshore GoM, MCRFP3FM2</t>
  </si>
  <si>
    <t>Monthly</t>
  </si>
  <si>
    <t>Actual thru Apr-26</t>
  </si>
  <si>
    <t>GoM production by grade</t>
  </si>
  <si>
    <t>BSEE field data + operator reports</t>
  </si>
  <si>
    <t>BSEE Production; 10-Q filings</t>
  </si>
  <si>
    <t>Monthly/Qtrly</t>
  </si>
  <si>
    <t>Estimate - to confirm</t>
  </si>
  <si>
    <t>PADD3 slate sulfur &amp; API</t>
  </si>
  <si>
    <t>EIA Refinery Input Qualities</t>
  </si>
  <si>
    <t>pet_pnp_crq_dcu_r30_m</t>
  </si>
  <si>
    <t>Actual thru Mar-26</t>
  </si>
  <si>
    <t>PADD3 crude runs &amp; utilization</t>
  </si>
  <si>
    <t>EIA Refinery Utilization &amp; Capacity</t>
  </si>
  <si>
    <t>pet_pnp_unc_dcu_r30_m</t>
  </si>
  <si>
    <t>PADD3 net crude runs</t>
  </si>
  <si>
    <t>EIA Refinery Net Input of Crude</t>
  </si>
  <si>
    <t>MCRRIP32</t>
  </si>
  <si>
    <t>Refinery CDU / coker capacity</t>
  </si>
  <si>
    <t>EIA Refinery Capacity Report (Jan 1)</t>
  </si>
  <si>
    <t>pet_pnp_cap1_dcu_r30_a</t>
  </si>
  <si>
    <t>Annual</t>
  </si>
  <si>
    <t>Pipeline capacities</t>
  </si>
  <si>
    <t>Operator filings / trade press</t>
  </si>
  <si>
    <t>Shell, Genesis, public tariffs</t>
  </si>
  <si>
    <t>As changed</t>
  </si>
  <si>
    <t>Sour imports / exports</t>
  </si>
  <si>
    <t>EIA imports + customs/cargo data</t>
  </si>
  <si>
    <t>pet_move_impcp_a2_r30</t>
  </si>
  <si>
    <t>TO BE PROVIDED by user</t>
  </si>
  <si>
    <t>Built 2026-06-05. Grade splits, capacities, utilization and sour/heavy shares are first-pass estimates flagged for refinement.</t>
  </si>
  <si>
    <t>PADD 3 Crude IMPORTS &amp; EXPORTS by grade (Jan-May 2026)</t>
  </si>
  <si>
    <t>Your live data (kbd). Sour?/Heavy? flags editable (1=yes, 0=no). The SOUR / HEAVY totals under each block feed Supply, Balance and Heavy Balance.</t>
  </si>
  <si>
    <t>A.  IMPORTS by grade</t>
  </si>
  <si>
    <t>Grade</t>
  </si>
  <si>
    <t>Sour?</t>
  </si>
  <si>
    <t>Heavy?</t>
  </si>
  <si>
    <t>Jan-26</t>
  </si>
  <si>
    <t>Feb-26</t>
  </si>
  <si>
    <t>Mar-26</t>
  </si>
  <si>
    <t>Apr-26</t>
  </si>
  <si>
    <t>May-26</t>
  </si>
  <si>
    <t>Note</t>
  </si>
  <si>
    <t>Arab Lt.</t>
  </si>
  <si>
    <t>Maya</t>
  </si>
  <si>
    <t>Merey</t>
  </si>
  <si>
    <t>Payara Gold</t>
  </si>
  <si>
    <t>Arab Hy.</t>
  </si>
  <si>
    <t>Boscan</t>
  </si>
  <si>
    <t>Arab M</t>
  </si>
  <si>
    <t>Hamaca</t>
  </si>
  <si>
    <t>Castilla</t>
  </si>
  <si>
    <t>Vasconia</t>
  </si>
  <si>
    <t>Molo</t>
  </si>
  <si>
    <t>Mares</t>
  </si>
  <si>
    <t>Acordionero</t>
  </si>
  <si>
    <t>Altamira</t>
  </si>
  <si>
    <t>Basrah Hy.</t>
  </si>
  <si>
    <t>Mizton Blend</t>
  </si>
  <si>
    <t>Hebron</t>
  </si>
  <si>
    <t>Pargo</t>
  </si>
  <si>
    <t>Ostra</t>
  </si>
  <si>
    <t>DCO</t>
  </si>
  <si>
    <t>Peregrino</t>
  </si>
  <si>
    <t>Bravo</t>
  </si>
  <si>
    <t>Kirkuk ITP</t>
  </si>
  <si>
    <t>Condensate</t>
  </si>
  <si>
    <t>Hibernia</t>
  </si>
  <si>
    <t>Crude</t>
  </si>
  <si>
    <t>Espirito Santo</t>
  </si>
  <si>
    <t>Eocene</t>
  </si>
  <si>
    <t>SOUR total (kbd)</t>
  </si>
  <si>
    <t>of which HEAVY (kbd)</t>
  </si>
  <si>
    <t>All grades total (kbd)</t>
  </si>
  <si>
    <t>B.  EXPORTS by grade</t>
  </si>
  <si>
    <t>Midland</t>
  </si>
  <si>
    <t>WTL</t>
  </si>
  <si>
    <t>WTI</t>
  </si>
  <si>
    <t>US Light Sweet</t>
  </si>
  <si>
    <t>SGC</t>
  </si>
  <si>
    <t>US Medium Sour Crude</t>
  </si>
  <si>
    <t>Bryan Mound Sour</t>
  </si>
  <si>
    <t>Bakken</t>
  </si>
  <si>
    <t>Cold Lake blend</t>
  </si>
  <si>
    <t>Mars</t>
  </si>
  <si>
    <t>Eagle Ford</t>
  </si>
  <si>
    <t>HLS</t>
  </si>
  <si>
    <t>Thunderhorse</t>
  </si>
  <si>
    <t>N. Amer</t>
  </si>
  <si>
    <t>LLS</t>
  </si>
  <si>
    <t>DSW</t>
  </si>
  <si>
    <t>Eagle Ford Co.</t>
  </si>
  <si>
    <t>West Hackberry Sour</t>
  </si>
  <si>
    <t>Bayou Chocktaw Sweet</t>
  </si>
  <si>
    <t>West Hackberry Sweet</t>
  </si>
  <si>
    <t>Bryan Mound Sweet</t>
  </si>
  <si>
    <t>US Crude</t>
  </si>
  <si>
    <t>Access western blend</t>
  </si>
  <si>
    <t>Poseidon</t>
  </si>
  <si>
    <t>2.  PIPELINES  -  GoM Sour Gathering + Inbound Crude to PADD 3 (Jan-May 2026)</t>
  </si>
  <si>
    <t>Section A: GoM offshore sour systems. Section B: inbound Canadian/midcon crude via Cushing (Mainline/Flanagan South, Spearhead, Keystone, Seaway, Marketlink, rail).</t>
  </si>
  <si>
    <t>System</t>
  </si>
  <si>
    <t>Operator</t>
  </si>
  <si>
    <t>Service (grade)</t>
  </si>
  <si>
    <t>Capacity</t>
  </si>
  <si>
    <t>Shell Pipeline</t>
  </si>
  <si>
    <t>Mars sour</t>
  </si>
  <si>
    <t>Genesis</t>
  </si>
  <si>
    <t>Poseidon sour blend</t>
  </si>
  <si>
    <t>Cameron Highway (CHOPS)</t>
  </si>
  <si>
    <t>SGC / heavy sour</t>
  </si>
  <si>
    <t>Ho-Ho (Houston-Houma)</t>
  </si>
  <si>
    <t>Shell/Zydeco</t>
  </si>
  <si>
    <t>Sour + sweet, reversible</t>
  </si>
  <si>
    <t>Zydeco</t>
  </si>
  <si>
    <t>Shell</t>
  </si>
  <si>
    <t>Mostly sweet (sour-capable)</t>
  </si>
  <si>
    <t>Other gathering (Bonito, etc.)</t>
  </si>
  <si>
    <t>Various</t>
  </si>
  <si>
    <t>Sour gathering</t>
  </si>
  <si>
    <t>TOTAL</t>
  </si>
  <si>
    <t>Spare capacity (Total cap - throughput)</t>
  </si>
  <si>
    <t>B.  Inbound crude pipelines to PADD 3  (Canadian heavy + midcontinent, via Cushing)</t>
  </si>
  <si>
    <t>System / route</t>
  </si>
  <si>
    <t>Route</t>
  </si>
  <si>
    <t>-- Feeders into Cushing (capacity reference) --</t>
  </si>
  <si>
    <t>Enbridge Mainline -&gt; Flanagan South</t>
  </si>
  <si>
    <t>Enbridge</t>
  </si>
  <si>
    <t>Flanagan IL -&gt; Cushing</t>
  </si>
  <si>
    <t>Spearhead</t>
  </si>
  <si>
    <t>Keystone (to Steele City)</t>
  </si>
  <si>
    <t>South Bow</t>
  </si>
  <si>
    <t>Hardisty -&gt; Steele City -&gt; Cushing</t>
  </si>
  <si>
    <t>-- Delivery Cushing -&gt; PADD 3 (counts as PADD 3 supply) --</t>
  </si>
  <si>
    <t>Seaway (legacy + twin)</t>
  </si>
  <si>
    <t>Enterprise/Enbridge</t>
  </si>
  <si>
    <t>Cushing -&gt; Freeport TX</t>
  </si>
  <si>
    <t>Marketlink</t>
  </si>
  <si>
    <t>Cushing -&gt; Nederland TX</t>
  </si>
  <si>
    <t>Railcars</t>
  </si>
  <si>
    <t>Midcon/Canada -&gt; Gulf</t>
  </si>
  <si>
    <t>TOTAL delivered to PADD 3</t>
  </si>
  <si>
    <t>EIA net pipeline receipts (MCRNRP32)</t>
  </si>
  <si>
    <t>Check: breakdown - EIA (should be ~0)</t>
  </si>
  <si>
    <t>3.  REFINER DEMAND  -  Key PADD 3 Refineries (Jan-May 2026)</t>
  </si>
  <si>
    <t>COKER-ANCHORED demand: heavy crude run is set by coking capacity (coker / resid yield), capped by CDU; sour = heavy + medium-sour from the rest of the barrel.</t>
  </si>
  <si>
    <t>Demand assumptions (editable)</t>
  </si>
  <si>
    <t>Coker utilization</t>
  </si>
  <si>
    <t>Heavy-crude vacuum-resid yield (coker feed per bbl heavy crude)</t>
  </si>
  <si>
    <t>Max heavy share of CDU run</t>
  </si>
  <si>
    <t>Medium-sour share of the non-heavy barrel</t>
  </si>
  <si>
    <t>Heavy run = MIN(CDU x util x maxheavy,  Coker x cokerutil / residyield).   Sour run = Heavy + (CDU x util - Heavy) x med-sour.</t>
  </si>
  <si>
    <t>Refinery table  (key PADD 3 refineries)</t>
  </si>
  <si>
    <t>Utilization %</t>
  </si>
  <si>
    <t>Heavy runs (kbd)</t>
  </si>
  <si>
    <t>Sour runs (kbd)</t>
  </si>
  <si>
    <t>Refinery</t>
  </si>
  <si>
    <t>ST</t>
  </si>
  <si>
    <t>CDU cap</t>
  </si>
  <si>
    <t>Coker</t>
  </si>
  <si>
    <t>Coker/CDU</t>
  </si>
  <si>
    <t>Jan</t>
  </si>
  <si>
    <t>Feb</t>
  </si>
  <si>
    <t>Mar</t>
  </si>
  <si>
    <t>Apr</t>
  </si>
  <si>
    <t>May</t>
  </si>
  <si>
    <t>Sweeny</t>
  </si>
  <si>
    <t>Phillips 66</t>
  </si>
  <si>
    <t>TX</t>
  </si>
  <si>
    <t>EIA RCR 2025 coker</t>
  </si>
  <si>
    <t>Galveston Bay</t>
  </si>
  <si>
    <t>Marathon (MAP)</t>
  </si>
  <si>
    <t>Deer Park</t>
  </si>
  <si>
    <t>Pemex</t>
  </si>
  <si>
    <t>Baytown</t>
  </si>
  <si>
    <t>ExxonMobil</t>
  </si>
  <si>
    <t>Texas City</t>
  </si>
  <si>
    <t>Valero</t>
  </si>
  <si>
    <t>Port Arthur</t>
  </si>
  <si>
    <t>Motiva</t>
  </si>
  <si>
    <t>Lake Charles</t>
  </si>
  <si>
    <t>Citgo</t>
  </si>
  <si>
    <t>LA</t>
  </si>
  <si>
    <t>Lake Charles (Westlake)</t>
  </si>
  <si>
    <t>Beaumont</t>
  </si>
  <si>
    <t>TotalEnergies</t>
  </si>
  <si>
    <t>Corpus Christi (E+W)</t>
  </si>
  <si>
    <t>Pascagoula</t>
  </si>
  <si>
    <t>Chevron</t>
  </si>
  <si>
    <t>MS</t>
  </si>
  <si>
    <t>Norco</t>
  </si>
  <si>
    <t>Corpus Christi</t>
  </si>
  <si>
    <t>Flint Hills</t>
  </si>
  <si>
    <t>Chalmette</t>
  </si>
  <si>
    <t>PBF</t>
  </si>
  <si>
    <t>Meraux</t>
  </si>
  <si>
    <t>TOTAL (tracked refineries)</t>
  </si>
  <si>
    <t>Demand range  (coker-max HIGH; Balance uses the MIDPOINT)</t>
  </si>
  <si>
    <t>Month 2026</t>
  </si>
  <si>
    <t>Run range: LOW factor (x coker-max heavy)</t>
  </si>
  <si>
    <t>lower this to cut HEAVY demand</t>
  </si>
  <si>
    <t>Crude runs (CDU x utilization)</t>
  </si>
  <si>
    <t>Heavy demand HIGH (coker max)</t>
  </si>
  <si>
    <t>Heavy demand LOW (HIGH x low factor)</t>
  </si>
  <si>
    <t>Sour demand HIGH  (= heavy HIGH + med-sour)</t>
  </si>
  <si>
    <t>Sour demand LOW  (= heavy LOW + med-sour)</t>
  </si>
  <si>
    <t>Sour demand MID  (-&gt; Balance)</t>
  </si>
  <si>
    <t>Heavy demand MID  (-&gt; Balance)</t>
  </si>
  <si>
    <t>1.  SUPPLY  -  PADD 3 Sour Crude (Jan-May 2026)</t>
  </si>
  <si>
    <t>GoM offshore production by grade + sour imports. kbd. Blue=input, Black=formula. Apr/May orange = estimate.</t>
  </si>
  <si>
    <t>A.  Gulf of Mexico offshore production by grade</t>
  </si>
  <si>
    <t>Grade / stream</t>
  </si>
  <si>
    <t>API</t>
  </si>
  <si>
    <t>S %</t>
  </si>
  <si>
    <t>Source / note</t>
  </si>
  <si>
    <t>Y</t>
  </si>
  <si>
    <t>Shell-op Mars-Ursa; est. from pipeline noms</t>
  </si>
  <si>
    <t>Poseidon (blend)</t>
  </si>
  <si>
    <t>Genesis Poseidon system blend</t>
  </si>
  <si>
    <t>Southern Green Canyon (SGC)</t>
  </si>
  <si>
    <t>Heavier GoM; via CHOPS</t>
  </si>
  <si>
    <t>Thunder Horse</t>
  </si>
  <si>
    <t>BP-op; lighter sour</t>
  </si>
  <si>
    <t>Bonito</t>
  </si>
  <si>
    <t>Heavy sour blend</t>
  </si>
  <si>
    <t>Other GoM sour (HOOPS, Bullwinkle, etc.)</t>
  </si>
  <si>
    <t>Misc deepwater sour</t>
  </si>
  <si>
    <t>Other GoM sweet / non-sour</t>
  </si>
  <si>
    <t>N</t>
  </si>
  <si>
    <t>Balancing line - light sweet GoM</t>
  </si>
  <si>
    <t>Total GoM Federal Offshore (model)</t>
  </si>
  <si>
    <t>EIA actual - Federal Offshore GoM</t>
  </si>
  <si>
    <t>Source: EIA MCRFP3FM2</t>
  </si>
  <si>
    <t>Check: model vs EIA (~0)</t>
  </si>
  <si>
    <t>GoM SOUR production subtotal</t>
  </si>
  <si>
    <t>B.  Sour imports &amp; exports  (live from Imports / Exports tabs)</t>
  </si>
  <si>
    <t>Component</t>
  </si>
  <si>
    <t>Source</t>
  </si>
  <si>
    <t>Plus: SOUR imports (waterborne)</t>
  </si>
  <si>
    <t>Imports tab</t>
  </si>
  <si>
    <t xml:space="preserve">   of which heavy (memo)</t>
  </si>
  <si>
    <t>memo</t>
  </si>
  <si>
    <t>Net pipeline receipts from PADD 2 (total)</t>
  </si>
  <si>
    <t>EIA MCRNRP32</t>
  </si>
  <si>
    <t xml:space="preserve">   sour share of pipeline receipts</t>
  </si>
  <si>
    <t>assumption - editable</t>
  </si>
  <si>
    <t>Plus: SOUR from pipeline receipts</t>
  </si>
  <si>
    <t>Less: SOUR exports</t>
  </si>
  <si>
    <t>Exports tab</t>
  </si>
  <si>
    <t>SPR net release (+) / refill (-), total</t>
  </si>
  <si>
    <t>DOE SPR reports (spr.doe.gov); Apr-May = 2026 Exchange drawdown</t>
  </si>
  <si>
    <t xml:space="preserve">   sour share of SPR barrels</t>
  </si>
  <si>
    <t>DOE SPR Quick Facts: ~60% sour by design - editable</t>
  </si>
  <si>
    <t>Plus/Less: SOUR from SPR</t>
  </si>
  <si>
    <t>memo: EIA total PADD3 crude imports</t>
  </si>
  <si>
    <t>EIA MCRIMP32 - terminal file is a subset (~half)</t>
  </si>
  <si>
    <t>NET SOUR SUPPLY TO PADD 3   (GoM sour + imports + pipeline + SPR - exports)</t>
  </si>
  <si>
    <t>4.  BALANCE  -  PADD 3 Sour Supply vs Demand (Jan-May 2026)</t>
  </si>
  <si>
    <t>Links totals from the other tabs. Surplus (+) = length / weak diffs; deficit (-) = tightness / firm diffs.</t>
  </si>
  <si>
    <t>Item / kbd</t>
  </si>
  <si>
    <t xml:space="preserve">   memo: GoM sour production</t>
  </si>
  <si>
    <t xml:space="preserve">   memo: sour imports (+)</t>
  </si>
  <si>
    <t xml:space="preserve">   memo: sour from pipeline (+)</t>
  </si>
  <si>
    <t xml:space="preserve">   memo: SPR sour release(+)/refill(-)</t>
  </si>
  <si>
    <t xml:space="preserve">   memo: sour exports (-)</t>
  </si>
  <si>
    <t>Net SOUR supply (after exports)</t>
  </si>
  <si>
    <t>Total SOUR demand (mid of range)</t>
  </si>
  <si>
    <t>of which HEAVY demand (mid)</t>
  </si>
  <si>
    <t>BALANCE = Supply - Demand (bottom-up)</t>
  </si>
  <si>
    <t>Pipeline spare capacity</t>
  </si>
  <si>
    <t>READ</t>
  </si>
  <si>
    <t>Each column is one month. Supply and demand are linked live from the other tabs.</t>
  </si>
  <si>
    <t>Negative balance = region short sour (must import); deeper negative = tighter market = firmer Mars/SGC diffs.</t>
  </si>
  <si>
    <t>Two demand estimates (bottom-up vs top-down) should track each other; large gaps flag inputs to revisit.</t>
  </si>
  <si>
    <t>Supply now nets real sour imports (+) and sour exports (-) from the Imports/Exports tabs; edit the Sour?/Heavy? flags there to reclassify a grade.</t>
  </si>
  <si>
    <t>Residual deficit largely reflects sour that arrives by PIPELINE (e.g. Canadian heavy), which is not in the waterborne import file.</t>
  </si>
  <si>
    <t>Apr-May refinery drivers are estimates until EIA publishes.</t>
  </si>
  <si>
    <t>HEAVY CRUDE REFINERS  -  Monthly Heavy Runs (Jan-May 2026)</t>
  </si>
  <si>
    <t>Tracked refineries. Coking capacity = EIA Refinery Capacity Report 2025. Heavy runs link from the COKER-ANCHORED demand on the Refiner Demand tab (single source).</t>
  </si>
  <si>
    <t>Coker (delayed)</t>
  </si>
  <si>
    <t>Chart label</t>
  </si>
  <si>
    <t>links Refiner Demand</t>
  </si>
  <si>
    <t>TOTAL heavy runs (kbd)</t>
  </si>
  <si>
    <t>5.  HEAVY BALANCE  -  PADD 3 Heavy Crude Supply vs Demand (Jan-May 2026)</t>
  </si>
  <si>
    <t>Heavy = API &lt; 24 (Maya, Boscan, Venezuelan/Canadian heavy). GoM grades are medium sour (API 27-35) so domestic heavy ~ 0 - heavy supply is mostly imports.</t>
  </si>
  <si>
    <t>GoM heavy production (API&lt;24)</t>
  </si>
  <si>
    <t>Plus: HEAVY imports (+)</t>
  </si>
  <si>
    <t xml:space="preserve">   heavy share of pipeline receipts</t>
  </si>
  <si>
    <t>&lt;- heavy = API &lt; 30 (Canadian WCS + medium; editable)</t>
  </si>
  <si>
    <t>Plus: HEAVY from pipeline receipts (+)</t>
  </si>
  <si>
    <t>Less: HEAVY exports (-)</t>
  </si>
  <si>
    <t>NET HEAVY supply</t>
  </si>
  <si>
    <t>Total HEAVY demand (mid of range)</t>
  </si>
  <si>
    <t xml:space="preserve">   memo: coker-max heavy (HIGH end)</t>
  </si>
  <si>
    <t>HEAVY BALANCE = Net supply - demand</t>
  </si>
  <si>
    <t>Heavy supply to PADD 3 is almost entirely IMPORTS - GoM grades are medium sour (API 27-35), so domestic heavy is ~0.</t>
  </si>
  <si>
    <t>Heavy demand = refinery heavy runs (CDU x utilization x heavy share); the 10-refiner subset is shown as a memo line.</t>
  </si>
  <si>
    <t>Large deficit is expected: most heavy reaches PADD 3 by PIPELINE (Canadian WCS, etc.), which is NOT in the waterborne import file.</t>
  </si>
  <si>
    <t>Edit the Heavy? flags on the Imports / Exports tabs to change what counts as heavy.</t>
  </si>
  <si>
    <t>Heavy supply by source  (waterborne imports, kbd)</t>
  </si>
  <si>
    <t>Source (country)</t>
  </si>
  <si>
    <t>Maya (Mexico)</t>
  </si>
  <si>
    <t>Merey (Venezuela)</t>
  </si>
  <si>
    <t>Boscan (Venezuela)</t>
  </si>
  <si>
    <t>Castilla (Colombia)</t>
  </si>
  <si>
    <t>Mares (Venezuela)</t>
  </si>
  <si>
    <t>Acordionero (Colombia)</t>
  </si>
  <si>
    <t>Other heavy imports</t>
  </si>
  <si>
    <t>TOTAL heavy imports</t>
  </si>
  <si>
    <t>SEASONAL NORMAL  -  10-Year Monthly Average (2016-2025)</t>
  </si>
  <si>
    <t>What to expect by calendar month. Volumes = EIA 10-yr avg (kbd). Sour/heavy = volume x composition assumptions (editable).</t>
  </si>
  <si>
    <t>Composition assumptions (editable) - fraction of each stream</t>
  </si>
  <si>
    <t>Stream</t>
  </si>
  <si>
    <t>Sour %</t>
  </si>
  <si>
    <t>Heavy %</t>
  </si>
  <si>
    <t>GoM production</t>
  </si>
  <si>
    <t>Waterborne imports</t>
  </si>
  <si>
    <t>Pipeline receipts (PADD2)</t>
  </si>
  <si>
    <t>10-year seasonal normal (2016-2025) - kbd</t>
  </si>
  <si>
    <t>Month</t>
  </si>
  <si>
    <t>GoM prod</t>
  </si>
  <si>
    <t>Imports</t>
  </si>
  <si>
    <t>Pipeline</t>
  </si>
  <si>
    <t>Total supply</t>
  </si>
  <si>
    <t>Exp SOUR supply</t>
  </si>
  <si>
    <t>Exp HEAVY supply</t>
  </si>
  <si>
    <t>Exp SOUR imports</t>
  </si>
  <si>
    <t>Exp HEAVY imports</t>
  </si>
  <si>
    <t>Jun</t>
  </si>
  <si>
    <t>Jul</t>
  </si>
  <si>
    <t>Aug</t>
  </si>
  <si>
    <t>Sep</t>
  </si>
  <si>
    <t>Oct</t>
  </si>
  <si>
    <t>Nov</t>
  </si>
  <si>
    <t>Dec</t>
  </si>
  <si>
    <t>Avg</t>
  </si>
  <si>
    <t>Method: EIA monthly history (GoM prod MCRFP3FM2, imports MCRIMP32, pipeline receipts MCRNRP32) averaged by calendar month 2016-2025; sour/heavy via the editable assumptions above.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</si>
</sst>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;\(#,##0\);&quot;-&quot;"/>
    <numFmt numFmtId="165" formatCode="0.0"/>
    <numFmt numFmtId="166" formatCode="0.0&quot;%&quot;"/>
    <numFmt numFmtId="167" formatCode="0.0%;\(0.0%\);&quot;-&quot;"/>
    <numFmt numFmtId="168" formatCode="#,##0.0;\(#,##0.0\);&quot;-&quot;"/>
  </numFmts>
  <fonts count="11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9"/>
      <color rgb="FF808080"/>
      <name val="Arial"/>
    </font>
    <font>
      <b/>
      <sz val="11"/>
      <color rgb="FF1F4E78"/>
      <name val="Arial"/>
    </font>
    <font>
      <sz val="10"/>
      <color rgb="FF000000"/>
      <name val="Arial"/>
    </font>
    <font>
      <sz val="10"/>
      <color rgb="FF0000FF"/>
      <name val="Arial"/>
    </font>
    <font>
      <sz val="10"/>
      <color rgb="FF008000"/>
      <name val="Arial"/>
    </font>
    <font>
      <b/>
      <sz val="10"/>
      <color rgb="FF833C00"/>
      <name val="Arial"/>
    </font>
    <font>
      <b/>
      <sz val="10"/>
      <color rgb="FFFFFFFF"/>
      <name val="Arial"/>
    </font>
    <font>
      <b/>
      <sz val="10"/>
      <color rgb="FF000000"/>
      <name val="Arial"/>
    </font>
    <font>
      <b/>
      <sz val="11"/>
      <color rgb="FF000000"/>
      <name val="Arial"/>
    </font>
  </fonts>
  <fills count="9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F00"/>
      </patternFill>
    </fill>
    <fill>
      <patternFill patternType="solid">
        <fgColor rgb="FFFCE4D6"/>
      </patternFill>
    </fill>
    <fill>
      <patternFill patternType="solid">
        <fgColor rgb="FF4472C4"/>
      </patternFill>
    </fill>
    <fill>
      <patternFill patternType="solid">
        <fgColor rgb="FFF2F2F2"/>
      </patternFill>
    </fill>
    <fill>
      <patternFill patternType="solid">
        <fgColor rgb="FFDDEBF7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7" fillId="4" borderId="0" xfId="0" applyFont="1" applyFill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7" fillId="4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1" fontId="5" fillId="0" borderId="1" xfId="0" applyNumberFormat="1" applyFont="1" applyBorder="1" applyAlignment="1">
      <alignment horizontal="center" vertical="center"/>
    </xf>
    <xf numFmtId="164" fontId="5" fillId="0" borderId="1" xfId="0" applyNumberFormat="1" applyFont="1" applyBorder="1" applyAlignment="1">
      <alignment horizontal="righ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0" fontId="9" fillId="7" borderId="1" xfId="0" applyFont="1" applyFill="1" applyBorder="1"/>
    <xf numFmtId="164" fontId="9" fillId="7" borderId="1" xfId="0" applyNumberFormat="1" applyFont="1" applyFill="1" applyBorder="1" applyAlignment="1">
      <alignment horizontal="right" vertical="center"/>
    </xf>
    <xf numFmtId="0" fontId="9" fillId="6" borderId="1" xfId="0" applyFont="1" applyFill="1" applyBorder="1"/>
    <xf numFmtId="164" fontId="9" fillId="6" borderId="1" xfId="0" applyNumberFormat="1" applyFont="1" applyFill="1" applyBorder="1" applyAlignment="1">
      <alignment horizontal="right" vertical="center"/>
    </xf>
    <xf numFmtId="0" fontId="4" fillId="0" borderId="1" xfId="0" applyFont="1" applyBorder="1"/>
    <xf numFmtId="164" fontId="4" fillId="0" borderId="1" xfId="0" applyNumberFormat="1" applyFont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/>
    </xf>
    <xf numFmtId="167" fontId="5" fillId="3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/>
    <xf numFmtId="0" fontId="2" fillId="0" borderId="1" xfId="0" applyFont="1" applyBorder="1" applyAlignment="1">
      <alignment horizontal="center" vertical="center"/>
    </xf>
    <xf numFmtId="167" fontId="4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horizontal="center" vertical="center"/>
    </xf>
    <xf numFmtId="167" fontId="5" fillId="4" borderId="1" xfId="0" applyNumberFormat="1" applyFont="1" applyFill="1" applyBorder="1" applyAlignment="1">
      <alignment horizontal="center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9" fillId="6" borderId="1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164" fontId="6" fillId="0" borderId="1" xfId="0" applyNumberFormat="1" applyFont="1" applyBorder="1" applyAlignment="1">
      <alignment horizontal="right" vertical="center"/>
    </xf>
    <xf numFmtId="168" fontId="5" fillId="0" borderId="1" xfId="0" applyNumberFormat="1" applyFont="1" applyBorder="1" applyAlignment="1">
      <alignment horizontal="right" vertical="center"/>
    </xf>
    <xf numFmtId="168" fontId="5" fillId="4" borderId="1" xfId="0" applyNumberFormat="1" applyFont="1" applyFill="1" applyBorder="1" applyAlignment="1">
      <alignment horizontal="right" vertical="center"/>
    </xf>
    <xf numFmtId="164" fontId="10" fillId="3" borderId="1" xfId="0" applyNumberFormat="1" applyFont="1" applyFill="1" applyBorder="1" applyAlignment="1">
      <alignment horizontal="right" vertical="center"/>
    </xf>
    <xf numFmtId="0" fontId="9" fillId="7" borderId="1" xfId="0" applyFont="1" applyFill="1" applyBorder="1" applyAlignment="1">
      <alignment horizontal="left" vertical="center"/>
    </xf>
    <xf numFmtId="164" fontId="6" fillId="7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164" fontId="6" fillId="4" borderId="1" xfId="0" applyNumberFormat="1" applyFont="1" applyFill="1" applyBorder="1" applyAlignment="1">
      <alignment horizontal="right" vertical="center"/>
    </xf>
    <xf numFmtId="167" fontId="9" fillId="6" borderId="1" xfId="0" applyNumberFormat="1" applyFont="1" applyFill="1" applyBorder="1" applyAlignment="1">
      <alignment horizontal="center" vertical="center"/>
    </xf>
    <xf numFmtId="164" fontId="4" fillId="7" borderId="1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5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4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2" fillId="8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Sour vs Heavy Crude Demand (tracked refineries)  |  Month by Month 2026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'DATA - Refiner Demand'!$A$41</c:f>
              <c:strCache>
                <c:ptCount val="1"/>
                <c:pt idx="0">
                  <c:v>Sour demand MID  (-&gt; Balance)</c:v>
                </c:pt>
              </c:strCache>
            </c:strRef>
          </c:tx>
          <c:spPr>
            <a:solidFill>
              <a:srgbClr val="2E5A88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- Refiner Demand'!$B$34:$F$34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'DATA - Refiner Demand'!$B$41:$F$41</c:f>
              <c:numCache>
                <c:formatCode>#,##0;\(#,##0\);"-"</c:formatCode>
                <c:ptCount val="5"/>
                <c:pt idx="0">
                  <c:v>3538.8989000000001</c:v>
                </c:pt>
                <c:pt idx="1">
                  <c:v>3475.253835</c:v>
                </c:pt>
                <c:pt idx="2">
                  <c:v>3602.5439650000003</c:v>
                </c:pt>
                <c:pt idx="3">
                  <c:v>3637.2594550000003</c:v>
                </c:pt>
                <c:pt idx="4">
                  <c:v>3697.2105624999999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D65E-4BB0-A380-6F9DAB7781AB}"/>
            </c:ext>
          </c:extLst>
        </c:ser>
        <c:ser>
          <c:idx val="1"/>
          <c:order val="1"/>
          <c:tx>
            <c:strRef>
              <c:f>'DATA - Refiner Demand'!$A$42</c:f>
              <c:strCache>
                <c:ptCount val="1"/>
                <c:pt idx="0">
                  <c:v>Heavy demand MID  (-&gt; Balance)</c:v>
                </c:pt>
              </c:strCache>
            </c:strRef>
          </c:tx>
          <c:spPr>
            <a:solidFill>
              <a:srgbClr val="C0504D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0"/>
            <c:showVal val="1"/>
            <c:showCatName val="0"/>
            <c:showSerName val="0"/>
            <c:showPercent val="0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'DATA - Refiner Demand'!$B$34:$F$34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'DATA - Refiner Demand'!$B$42:$F$42</c:f>
              <c:numCache>
                <c:formatCode>#,##0;\(#,##0\);"-"</c:formatCode>
                <c:ptCount val="5"/>
                <c:pt idx="0">
                  <c:v>1837.6279999999999</c:v>
                </c:pt>
                <c:pt idx="1">
                  <c:v>1832.4657</c:v>
                </c:pt>
                <c:pt idx="2">
                  <c:v>1842.7902999999999</c:v>
                </c:pt>
                <c:pt idx="3">
                  <c:v>1845.6061000000002</c:v>
                </c:pt>
                <c:pt idx="4">
                  <c:v>1850.5337500000001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D65E-4BB0-A380-6F9DAB7781A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1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Crude runs (thousand bbl/day)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Heavy Crude Demand by Month  (subset, kbd)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C0504D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'HEAVY - Refiners'!$G$4:$K$4</c:f>
              <c:strCache>
                <c:ptCount val="5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</c:strCache>
            </c:strRef>
          </c:cat>
          <c:val>
            <c:numRef>
              <c:f>'HEAVY - Refiners'!$G$22:$K$22</c:f>
              <c:numCache>
                <c:formatCode>#,##0;\(#,##0\);"-"</c:formatCode>
                <c:ptCount val="5"/>
                <c:pt idx="0">
                  <c:v>2827.12</c:v>
                </c:pt>
                <c:pt idx="1">
                  <c:v>2819.1779999999999</c:v>
                </c:pt>
                <c:pt idx="2">
                  <c:v>2835.0619999999999</c:v>
                </c:pt>
                <c:pt idx="3">
                  <c:v>2839.3940000000002</c:v>
                </c:pt>
                <c:pt idx="4">
                  <c:v>2846.9749999999999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C86C-4B2F-900B-61D5650B6A6A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6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Heavy Crude Demand by Refinery  (May 2026, kbd)</a:t>
            </a:r>
          </a:p>
        </c:rich>
      </c:tx>
      <c:overlay val="1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'HEAVY - Refiners'!$K$4</c:f>
              <c:strCache>
                <c:ptCount val="1"/>
                <c:pt idx="0">
                  <c:v>May</c:v>
                </c:pt>
              </c:strCache>
            </c:strRef>
          </c:tx>
          <c:spPr>
            <a:solidFill>
              <a:srgbClr val="7F2A1D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'HEAVY - Refiners'!$M$5:$M$21</c:f>
              <c:strCache>
                <c:ptCount val="17"/>
                <c:pt idx="0">
                  <c:v>Sweeny (Phillips 66)</c:v>
                </c:pt>
                <c:pt idx="1">
                  <c:v>Galveston Bay (Marathon (MAP))</c:v>
                </c:pt>
                <c:pt idx="2">
                  <c:v>Deer Park (Pemex)</c:v>
                </c:pt>
                <c:pt idx="3">
                  <c:v>Baytown (ExxonMobil)</c:v>
                </c:pt>
                <c:pt idx="4">
                  <c:v>Texas City (Valero)</c:v>
                </c:pt>
                <c:pt idx="5">
                  <c:v>Port Arthur (Motiva)</c:v>
                </c:pt>
                <c:pt idx="6">
                  <c:v>Port Arthur (Valero)</c:v>
                </c:pt>
                <c:pt idx="7">
                  <c:v>Lake Charles (Citgo)</c:v>
                </c:pt>
                <c:pt idx="8">
                  <c:v>Lake Charles (Westlake) (Phillips 66)</c:v>
                </c:pt>
                <c:pt idx="9">
                  <c:v>Beaumont (ExxonMobil)</c:v>
                </c:pt>
                <c:pt idx="10">
                  <c:v>Port Arthur (TotalEnergies)</c:v>
                </c:pt>
                <c:pt idx="11">
                  <c:v>Corpus Christi (E+W) (Valero)</c:v>
                </c:pt>
                <c:pt idx="12">
                  <c:v>Pascagoula (Chevron)</c:v>
                </c:pt>
                <c:pt idx="13">
                  <c:v>Norco (Shell)</c:v>
                </c:pt>
                <c:pt idx="14">
                  <c:v>Corpus Christi (Flint Hills)</c:v>
                </c:pt>
                <c:pt idx="15">
                  <c:v>Chalmette (PBF)</c:v>
                </c:pt>
                <c:pt idx="16">
                  <c:v>Meraux (Valero)</c:v>
                </c:pt>
              </c:strCache>
            </c:strRef>
          </c:cat>
          <c:val>
            <c:numRef>
              <c:f>'HEAVY - Refiners'!$K$5:$K$21</c:f>
              <c:numCache>
                <c:formatCode>#,##0;\(#,##0\);"-"</c:formatCode>
                <c:ptCount val="17"/>
                <c:pt idx="0">
                  <c:v>197.5</c:v>
                </c:pt>
                <c:pt idx="1">
                  <c:v>82.5</c:v>
                </c:pt>
                <c:pt idx="2">
                  <c:v>239.99999999999997</c:v>
                </c:pt>
                <c:pt idx="3">
                  <c:v>135</c:v>
                </c:pt>
                <c:pt idx="4">
                  <c:v>135</c:v>
                </c:pt>
                <c:pt idx="5">
                  <c:v>445</c:v>
                </c:pt>
                <c:pt idx="6">
                  <c:v>351.97499999999997</c:v>
                </c:pt>
                <c:pt idx="7">
                  <c:v>275</c:v>
                </c:pt>
                <c:pt idx="8">
                  <c:v>167.5</c:v>
                </c:pt>
                <c:pt idx="9">
                  <c:v>117.5</c:v>
                </c:pt>
                <c:pt idx="10">
                  <c:v>150</c:v>
                </c:pt>
                <c:pt idx="11">
                  <c:v>112.5</c:v>
                </c:pt>
                <c:pt idx="12">
                  <c:v>260</c:v>
                </c:pt>
                <c:pt idx="13">
                  <c:v>72.499999999999986</c:v>
                </c:pt>
                <c:pt idx="14">
                  <c:v>0</c:v>
                </c:pt>
                <c:pt idx="15">
                  <c:v>105</c:v>
                </c:pt>
                <c:pt idx="16">
                  <c:v>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5D4A-44D8-8341-8EDE777013AB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50"/>
        <c:axId val="10"/>
        <c:axId val="100"/>
      </c:barChart>
      <c:catAx>
        <c:axId val="10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axMin"/>
        </c:scaling>
        <c:delete val="0"/>
        <c:axPos val="b"/>
        <c:majorGridlines/>
        <c:numFmt formatCode="#,##0;\(#,##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Heavy Crude Supply by Source - Month by Month (kbd)</a:t>
            </a:r>
          </a:p>
        </c:rich>
      </c:tx>
      <c:overlay val="1"/>
    </c:title>
    <c:autoTitleDeleted val="0"/>
    <c:plotArea>
      <c:layout/>
      <c:barChart>
        <c:barDir val="col"/>
        <c:grouping val="stacked"/>
        <c:varyColors val="1"/>
        <c:ser>
          <c:idx val="0"/>
          <c:order val="0"/>
          <c:tx>
            <c:strRef>
              <c:f>'HEAVY - Balance'!$A$24</c:f>
              <c:strCache>
                <c:ptCount val="1"/>
                <c:pt idx="0">
                  <c:v>Maya (Mexico)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'HEAVY - Balance'!$B$23:$F$23</c:f>
              <c:strCache>
                <c:ptCount val="5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</c:strCache>
            </c:strRef>
          </c:cat>
          <c:val>
            <c:numRef>
              <c:f>'HEAVY - Balance'!$B$24:$F$24</c:f>
              <c:numCache>
                <c:formatCode>#,##0;\(#,##0\);"-"</c:formatCode>
                <c:ptCount val="5"/>
                <c:pt idx="0">
                  <c:v>124.4</c:v>
                </c:pt>
                <c:pt idx="1">
                  <c:v>99.1</c:v>
                </c:pt>
                <c:pt idx="2">
                  <c:v>128.69999999999999</c:v>
                </c:pt>
                <c:pt idx="3">
                  <c:v>104.2</c:v>
                </c:pt>
                <c:pt idx="4">
                  <c:v>73.099999999999994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D7A-4BA2-B033-5C231EFD99E4}"/>
            </c:ext>
          </c:extLst>
        </c:ser>
        <c:ser>
          <c:idx val="1"/>
          <c:order val="1"/>
          <c:tx>
            <c:strRef>
              <c:f>'HEAVY - Balance'!$A$25</c:f>
              <c:strCache>
                <c:ptCount val="1"/>
                <c:pt idx="0">
                  <c:v>Merey (Venezuela)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'HEAVY - Balance'!$B$23:$F$23</c:f>
              <c:strCache>
                <c:ptCount val="5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</c:strCache>
            </c:strRef>
          </c:cat>
          <c:val>
            <c:numRef>
              <c:f>'HEAVY - Balance'!$B$25:$F$25</c:f>
              <c:numCache>
                <c:formatCode>#,##0;\(#,##0\);"-"</c:formatCode>
                <c:ptCount val="5"/>
                <c:pt idx="0">
                  <c:v>35.700000000000003</c:v>
                </c:pt>
                <c:pt idx="1">
                  <c:v>18.899999999999999</c:v>
                </c:pt>
                <c:pt idx="2">
                  <c:v>77.099999999999994</c:v>
                </c:pt>
                <c:pt idx="3">
                  <c:v>85.1</c:v>
                </c:pt>
                <c:pt idx="4">
                  <c:v>80.8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D7A-4BA2-B033-5C231EFD99E4}"/>
            </c:ext>
          </c:extLst>
        </c:ser>
        <c:ser>
          <c:idx val="2"/>
          <c:order val="2"/>
          <c:tx>
            <c:strRef>
              <c:f>'HEAVY - Balance'!$A$26</c:f>
              <c:strCache>
                <c:ptCount val="1"/>
                <c:pt idx="0">
                  <c:v>Boscan (Venezuela)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'HEAVY - Balance'!$B$23:$F$23</c:f>
              <c:strCache>
                <c:ptCount val="5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</c:strCache>
            </c:strRef>
          </c:cat>
          <c:val>
            <c:numRef>
              <c:f>'HEAVY - Balance'!$B$26:$F$26</c:f>
              <c:numCache>
                <c:formatCode>#,##0;\(#,##0\);"-"</c:formatCode>
                <c:ptCount val="5"/>
                <c:pt idx="0">
                  <c:v>24.2</c:v>
                </c:pt>
                <c:pt idx="1">
                  <c:v>37.4</c:v>
                </c:pt>
                <c:pt idx="2">
                  <c:v>27.5</c:v>
                </c:pt>
                <c:pt idx="3">
                  <c:v>11.1</c:v>
                </c:pt>
                <c:pt idx="4">
                  <c:v>47.4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D7A-4BA2-B033-5C231EFD99E4}"/>
            </c:ext>
          </c:extLst>
        </c:ser>
        <c:ser>
          <c:idx val="3"/>
          <c:order val="3"/>
          <c:tx>
            <c:strRef>
              <c:f>'HEAVY - Balance'!$A$27</c:f>
              <c:strCache>
                <c:ptCount val="1"/>
                <c:pt idx="0">
                  <c:v>Castilla (Colombia)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'HEAVY - Balance'!$B$23:$F$23</c:f>
              <c:strCache>
                <c:ptCount val="5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</c:strCache>
            </c:strRef>
          </c:cat>
          <c:val>
            <c:numRef>
              <c:f>'HEAVY - Balance'!$B$27:$F$27</c:f>
              <c:numCache>
                <c:formatCode>#,##0;\(#,##0\);"-"</c:formatCode>
                <c:ptCount val="5"/>
                <c:pt idx="0">
                  <c:v>16.8</c:v>
                </c:pt>
                <c:pt idx="1">
                  <c:v>17.399999999999999</c:v>
                </c:pt>
                <c:pt idx="2">
                  <c:v>15.9</c:v>
                </c:pt>
                <c:pt idx="3">
                  <c:v>3.3</c:v>
                </c:pt>
                <c:pt idx="4">
                  <c:v>41.9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D7A-4BA2-B033-5C231EFD99E4}"/>
            </c:ext>
          </c:extLst>
        </c:ser>
        <c:ser>
          <c:idx val="4"/>
          <c:order val="4"/>
          <c:tx>
            <c:strRef>
              <c:f>'HEAVY - Balance'!$A$28</c:f>
              <c:strCache>
                <c:ptCount val="1"/>
                <c:pt idx="0">
                  <c:v>Mares (Venezuela)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'HEAVY - Balance'!$B$23:$F$23</c:f>
              <c:strCache>
                <c:ptCount val="5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</c:strCache>
            </c:strRef>
          </c:cat>
          <c:val>
            <c:numRef>
              <c:f>'HEAVY - Balance'!$B$28:$F$28</c:f>
              <c:numCache>
                <c:formatCode>#,##0;\(#,##0\);"-"</c:formatCode>
                <c:ptCount val="5"/>
                <c:pt idx="0">
                  <c:v>0</c:v>
                </c:pt>
                <c:pt idx="1">
                  <c:v>9.9</c:v>
                </c:pt>
                <c:pt idx="2">
                  <c:v>23.1</c:v>
                </c:pt>
                <c:pt idx="3">
                  <c:v>19.899999999999999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D7A-4BA2-B033-5C231EFD99E4}"/>
            </c:ext>
          </c:extLst>
        </c:ser>
        <c:ser>
          <c:idx val="5"/>
          <c:order val="5"/>
          <c:tx>
            <c:strRef>
              <c:f>'HEAVY - Balance'!$A$29</c:f>
              <c:strCache>
                <c:ptCount val="1"/>
                <c:pt idx="0">
                  <c:v>Acordionero (Colombia)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'HEAVY - Balance'!$B$23:$F$23</c:f>
              <c:strCache>
                <c:ptCount val="5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</c:strCache>
            </c:strRef>
          </c:cat>
          <c:val>
            <c:numRef>
              <c:f>'HEAVY - Balance'!$B$29:$F$29</c:f>
              <c:numCache>
                <c:formatCode>#,##0;\(#,##0\);"-"</c:formatCode>
                <c:ptCount val="5"/>
                <c:pt idx="0">
                  <c:v>16.100000000000001</c:v>
                </c:pt>
                <c:pt idx="1">
                  <c:v>0</c:v>
                </c:pt>
                <c:pt idx="2">
                  <c:v>17.2</c:v>
                </c:pt>
                <c:pt idx="3">
                  <c:v>0</c:v>
                </c:pt>
                <c:pt idx="4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D7A-4BA2-B033-5C231EFD99E4}"/>
            </c:ext>
          </c:extLst>
        </c:ser>
        <c:ser>
          <c:idx val="6"/>
          <c:order val="6"/>
          <c:tx>
            <c:strRef>
              <c:f>'HEAVY - Balance'!$A$30</c:f>
              <c:strCache>
                <c:ptCount val="1"/>
                <c:pt idx="0">
                  <c:v>Other heavy imports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'HEAVY - Balance'!$B$23:$F$23</c:f>
              <c:strCache>
                <c:ptCount val="5"/>
                <c:pt idx="0">
                  <c:v>Jan-26</c:v>
                </c:pt>
                <c:pt idx="1">
                  <c:v>Feb-26</c:v>
                </c:pt>
                <c:pt idx="2">
                  <c:v>Mar-26</c:v>
                </c:pt>
                <c:pt idx="3">
                  <c:v>Apr-26</c:v>
                </c:pt>
                <c:pt idx="4">
                  <c:v>May-26</c:v>
                </c:pt>
              </c:strCache>
            </c:strRef>
          </c:cat>
          <c:val>
            <c:numRef>
              <c:f>'HEAVY - Balance'!$B$30:$F$30</c:f>
              <c:numCache>
                <c:formatCode>#,##0;\(#,##0\);"-"</c:formatCode>
                <c:ptCount val="5"/>
                <c:pt idx="0">
                  <c:v>20.900000000000006</c:v>
                </c:pt>
                <c:pt idx="1">
                  <c:v>25.300000000000011</c:v>
                </c:pt>
                <c:pt idx="2">
                  <c:v>49.100000000000023</c:v>
                </c:pt>
                <c:pt idx="3">
                  <c:v>3.3000000000000114</c:v>
                </c:pt>
                <c:pt idx="4">
                  <c:v>4.6999999999999886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D7A-4BA2-B033-5C231EFD99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Expected SOUR vs HEAVY Supply by Month (10-yr normal, kbd)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'Seasonal Normal (10-yr)'!$F$11</c:f>
              <c:strCache>
                <c:ptCount val="1"/>
                <c:pt idx="0">
                  <c:v>Exp SOUR supply</c:v>
                </c:pt>
              </c:strCache>
            </c:strRef>
          </c:tx>
          <c:spPr>
            <a:solidFill>
              <a:srgbClr val="2E5A88"/>
            </a:solidFill>
            <a:ln>
              <a:prstDash val="solid"/>
            </a:ln>
          </c:spPr>
          <c:invertIfNegative val="1"/>
          <c:cat>
            <c:strRef>
              <c:f>'Seasonal Normal (10-yr)'!$A$12:$A$23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 Normal (10-yr)'!$F$12:$F$23</c:f>
              <c:numCache>
                <c:formatCode>#,##0;\(#,##0\);"-"</c:formatCode>
                <c:ptCount val="12"/>
                <c:pt idx="0">
                  <c:v>3734.6800000000003</c:v>
                </c:pt>
                <c:pt idx="1">
                  <c:v>3590.34</c:v>
                </c:pt>
                <c:pt idx="2">
                  <c:v>3718.6000000000004</c:v>
                </c:pt>
                <c:pt idx="3">
                  <c:v>3640.26</c:v>
                </c:pt>
                <c:pt idx="4">
                  <c:v>3731.3700000000003</c:v>
                </c:pt>
                <c:pt idx="5">
                  <c:v>3660.4100000000003</c:v>
                </c:pt>
                <c:pt idx="6">
                  <c:v>3669.4200000000005</c:v>
                </c:pt>
                <c:pt idx="7">
                  <c:v>3416.92</c:v>
                </c:pt>
                <c:pt idx="8">
                  <c:v>3434.8599999999997</c:v>
                </c:pt>
                <c:pt idx="9">
                  <c:v>3434.51</c:v>
                </c:pt>
                <c:pt idx="10">
                  <c:v>3534.3800000000006</c:v>
                </c:pt>
                <c:pt idx="11">
                  <c:v>3546.7400000000002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3A8-4AA3-AF4E-4A8AA768A25E}"/>
            </c:ext>
          </c:extLst>
        </c:ser>
        <c:ser>
          <c:idx val="1"/>
          <c:order val="1"/>
          <c:tx>
            <c:strRef>
              <c:f>'Seasonal Normal (10-yr)'!$G$11</c:f>
              <c:strCache>
                <c:ptCount val="1"/>
                <c:pt idx="0">
                  <c:v>Exp HEAVY supply</c:v>
                </c:pt>
              </c:strCache>
            </c:strRef>
          </c:tx>
          <c:spPr>
            <a:solidFill>
              <a:srgbClr val="C0504D"/>
            </a:solidFill>
            <a:ln>
              <a:prstDash val="solid"/>
            </a:ln>
          </c:spPr>
          <c:invertIfNegative val="1"/>
          <c:cat>
            <c:strRef>
              <c:f>'Seasonal Normal (10-yr)'!$A$12:$A$23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 Normal (10-yr)'!$G$12:$G$23</c:f>
              <c:numCache>
                <c:formatCode>#,##0;\(#,##0\);"-"</c:formatCode>
                <c:ptCount val="12"/>
                <c:pt idx="0">
                  <c:v>1558.1</c:v>
                </c:pt>
                <c:pt idx="1">
                  <c:v>1478.1</c:v>
                </c:pt>
                <c:pt idx="2">
                  <c:v>1538</c:v>
                </c:pt>
                <c:pt idx="3">
                  <c:v>1485.3</c:v>
                </c:pt>
                <c:pt idx="4">
                  <c:v>1546.9499999999998</c:v>
                </c:pt>
                <c:pt idx="5">
                  <c:v>1486.4499999999998</c:v>
                </c:pt>
                <c:pt idx="6">
                  <c:v>1476.6</c:v>
                </c:pt>
                <c:pt idx="7">
                  <c:v>1345.4</c:v>
                </c:pt>
                <c:pt idx="8">
                  <c:v>1403.3</c:v>
                </c:pt>
                <c:pt idx="9">
                  <c:v>1439.9499999999998</c:v>
                </c:pt>
                <c:pt idx="10">
                  <c:v>1455.6999999999998</c:v>
                </c:pt>
                <c:pt idx="11">
                  <c:v>1463.8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83A8-4AA3-AF4E-4A8AA768A2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kbd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10"/>
  <c:chart>
    <c:title>
      <c:tx>
        <c:rich>
          <a:bodyPr/>
          <a:lstStyle/>
          <a:p>
            <a:pPr>
              <a:defRPr/>
            </a:pPr>
            <a:r>
              <a:t>Expected SOUR vs HEAVY Imports by Month (10-yr normal, kbd)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'Seasonal Normal (10-yr)'!$H$11</c:f>
              <c:strCache>
                <c:ptCount val="1"/>
                <c:pt idx="0">
                  <c:v>Exp SOUR imports</c:v>
                </c:pt>
              </c:strCache>
            </c:strRef>
          </c:tx>
          <c:spPr>
            <a:solidFill>
              <a:srgbClr val="2E5A88"/>
            </a:solidFill>
            <a:ln>
              <a:prstDash val="solid"/>
            </a:ln>
          </c:spPr>
          <c:invertIfNegative val="1"/>
          <c:cat>
            <c:strRef>
              <c:f>'Seasonal Normal (10-yr)'!$A$12:$A$23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 Normal (10-yr)'!$H$12:$H$23</c:f>
              <c:numCache>
                <c:formatCode>#,##0;\(#,##0\);"-"</c:formatCode>
                <c:ptCount val="12"/>
                <c:pt idx="0">
                  <c:v>1737.24</c:v>
                </c:pt>
                <c:pt idx="1">
                  <c:v>1657.26</c:v>
                </c:pt>
                <c:pt idx="2">
                  <c:v>1726.0800000000002</c:v>
                </c:pt>
                <c:pt idx="3">
                  <c:v>1737.24</c:v>
                </c:pt>
                <c:pt idx="4">
                  <c:v>1864.65</c:v>
                </c:pt>
                <c:pt idx="5">
                  <c:v>1816.2900000000002</c:v>
                </c:pt>
                <c:pt idx="6">
                  <c:v>1832.1000000000001</c:v>
                </c:pt>
                <c:pt idx="7">
                  <c:v>1614.48</c:v>
                </c:pt>
                <c:pt idx="8">
                  <c:v>1599.6000000000001</c:v>
                </c:pt>
                <c:pt idx="9">
                  <c:v>1481.49</c:v>
                </c:pt>
                <c:pt idx="10">
                  <c:v>1514.0400000000002</c:v>
                </c:pt>
                <c:pt idx="11">
                  <c:v>1504.74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6E6A-4DE2-A1FD-4F7D5B20652A}"/>
            </c:ext>
          </c:extLst>
        </c:ser>
        <c:ser>
          <c:idx val="1"/>
          <c:order val="1"/>
          <c:tx>
            <c:strRef>
              <c:f>'Seasonal Normal (10-yr)'!$I$11</c:f>
              <c:strCache>
                <c:ptCount val="1"/>
                <c:pt idx="0">
                  <c:v>Exp HEAVY imports</c:v>
                </c:pt>
              </c:strCache>
            </c:strRef>
          </c:tx>
          <c:spPr>
            <a:solidFill>
              <a:srgbClr val="C0504D"/>
            </a:solidFill>
            <a:ln>
              <a:prstDash val="solid"/>
            </a:ln>
          </c:spPr>
          <c:invertIfNegative val="1"/>
          <c:cat>
            <c:strRef>
              <c:f>'Seasonal Normal (10-yr)'!$A$12:$A$23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'Seasonal Normal (10-yr)'!$I$12:$I$23</c:f>
              <c:numCache>
                <c:formatCode>#,##0;\(#,##0\);"-"</c:formatCode>
                <c:ptCount val="12"/>
                <c:pt idx="0">
                  <c:v>840.6</c:v>
                </c:pt>
                <c:pt idx="1">
                  <c:v>801.9</c:v>
                </c:pt>
                <c:pt idx="2">
                  <c:v>835.2</c:v>
                </c:pt>
                <c:pt idx="3">
                  <c:v>840.6</c:v>
                </c:pt>
                <c:pt idx="4">
                  <c:v>902.25</c:v>
                </c:pt>
                <c:pt idx="5">
                  <c:v>878.85</c:v>
                </c:pt>
                <c:pt idx="6">
                  <c:v>886.5</c:v>
                </c:pt>
                <c:pt idx="7">
                  <c:v>781.2</c:v>
                </c:pt>
                <c:pt idx="8">
                  <c:v>774</c:v>
                </c:pt>
                <c:pt idx="9">
                  <c:v>716.85</c:v>
                </c:pt>
                <c:pt idx="10">
                  <c:v>732.6</c:v>
                </c:pt>
                <c:pt idx="11">
                  <c:v>728.1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1-6E6A-4DE2-A1FD-4F7D5B2065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t>kbd</a:t>
                </a:r>
              </a:p>
            </c:rich>
          </c:tx>
          <c:overlay val="1"/>
        </c:title>
        <c:numFmt formatCode="#,##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44</xdr:row>
      <xdr:rowOff>0</xdr:rowOff>
    </xdr:from>
    <xdr:ext cx="8640000" cy="39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24</xdr:row>
      <xdr:rowOff>0</xdr:rowOff>
    </xdr:from>
    <xdr:ext cx="75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42</xdr:row>
      <xdr:rowOff>0</xdr:rowOff>
    </xdr:from>
    <xdr:ext cx="7560000" cy="39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0</xdr:colOff>
      <xdr:row>22</xdr:row>
      <xdr:rowOff>0</xdr:rowOff>
    </xdr:from>
    <xdr:ext cx="7920000" cy="360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25</xdr:row>
      <xdr:rowOff>0</xdr:rowOff>
    </xdr:from>
    <xdr:ext cx="8640000" cy="306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43</xdr:row>
      <xdr:rowOff>0</xdr:rowOff>
    </xdr:from>
    <xdr:ext cx="8640000" cy="306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4E78"/>
  </sheetPr>
  <dimension ref="A1:H34"/>
  <sheetViews>
    <sheetView showGridLines="0" workbookViewId="0">
      <selection sqref="A1:H1"/>
    </sheetView>
  </sheetViews>
  <sheetFormatPr defaultRowHeight="14.4" x14ac:dyDescent="0.3"/>
  <cols>
    <col min="1" max="1" width="34" customWidth="1"/>
    <col min="2" max="2" width="28" customWidth="1"/>
    <col min="3" max="3" width="30" customWidth="1"/>
    <col min="4" max="4" width="12" customWidth="1"/>
    <col min="5" max="5" width="22" customWidth="1"/>
  </cols>
  <sheetData>
    <row r="1" spans="1:8" ht="24" customHeight="1" x14ac:dyDescent="0.3">
      <c r="A1" s="47" t="s">
        <v>0</v>
      </c>
      <c r="B1" s="48"/>
      <c r="C1" s="48"/>
      <c r="D1" s="48"/>
      <c r="E1" s="48"/>
      <c r="F1" s="48"/>
      <c r="G1" s="48"/>
      <c r="H1" s="48"/>
    </row>
    <row r="2" spans="1:8" x14ac:dyDescent="0.3">
      <c r="A2" s="50" t="s">
        <v>1</v>
      </c>
      <c r="B2" s="48"/>
      <c r="C2" s="48"/>
      <c r="D2" s="48"/>
      <c r="E2" s="48"/>
      <c r="F2" s="48"/>
      <c r="G2" s="48"/>
      <c r="H2" s="48"/>
    </row>
    <row r="4" spans="1:8" x14ac:dyDescent="0.3">
      <c r="A4" s="2" t="s">
        <v>2</v>
      </c>
    </row>
    <row r="5" spans="1:8" x14ac:dyDescent="0.3">
      <c r="A5" s="49" t="s">
        <v>3</v>
      </c>
      <c r="B5" s="48"/>
      <c r="C5" s="48"/>
      <c r="D5" s="48"/>
      <c r="E5" s="48"/>
      <c r="F5" s="48"/>
      <c r="G5" s="48"/>
      <c r="H5" s="48"/>
    </row>
    <row r="6" spans="1:8" x14ac:dyDescent="0.3">
      <c r="A6" s="49" t="s">
        <v>4</v>
      </c>
      <c r="B6" s="48"/>
      <c r="C6" s="48"/>
      <c r="D6" s="48"/>
      <c r="E6" s="48"/>
      <c r="F6" s="48"/>
      <c r="G6" s="48"/>
      <c r="H6" s="48"/>
    </row>
    <row r="7" spans="1:8" x14ac:dyDescent="0.3">
      <c r="A7" s="49" t="s">
        <v>5</v>
      </c>
      <c r="B7" s="48"/>
      <c r="C7" s="48"/>
      <c r="D7" s="48"/>
      <c r="E7" s="48"/>
      <c r="F7" s="48"/>
      <c r="G7" s="48"/>
      <c r="H7" s="48"/>
    </row>
    <row r="8" spans="1:8" x14ac:dyDescent="0.3">
      <c r="A8" s="49" t="s">
        <v>6</v>
      </c>
      <c r="B8" s="48"/>
      <c r="C8" s="48"/>
      <c r="D8" s="48"/>
      <c r="E8" s="48"/>
      <c r="F8" s="48"/>
      <c r="G8" s="48"/>
      <c r="H8" s="48"/>
    </row>
    <row r="9" spans="1:8" x14ac:dyDescent="0.3">
      <c r="A9" s="49" t="s">
        <v>7</v>
      </c>
      <c r="B9" s="48"/>
      <c r="C9" s="48"/>
      <c r="D9" s="48"/>
      <c r="E9" s="48"/>
      <c r="F9" s="48"/>
      <c r="G9" s="48"/>
      <c r="H9" s="48"/>
    </row>
    <row r="10" spans="1:8" x14ac:dyDescent="0.3">
      <c r="A10" s="49" t="s">
        <v>8</v>
      </c>
      <c r="B10" s="48"/>
      <c r="C10" s="48"/>
      <c r="D10" s="48"/>
      <c r="E10" s="48"/>
      <c r="F10" s="48"/>
      <c r="G10" s="48"/>
      <c r="H10" s="48"/>
    </row>
    <row r="12" spans="1:8" x14ac:dyDescent="0.3">
      <c r="A12" s="2" t="s">
        <v>9</v>
      </c>
    </row>
    <row r="13" spans="1:8" x14ac:dyDescent="0.3">
      <c r="A13" s="4" t="s">
        <v>10</v>
      </c>
      <c r="B13" s="49" t="s">
        <v>11</v>
      </c>
      <c r="C13" s="48"/>
      <c r="D13" s="48"/>
      <c r="E13" s="48"/>
      <c r="F13" s="48"/>
      <c r="G13" s="48"/>
      <c r="H13" s="48"/>
    </row>
    <row r="14" spans="1:8" x14ac:dyDescent="0.3">
      <c r="A14" s="3" t="s">
        <v>12</v>
      </c>
      <c r="B14" s="49" t="s">
        <v>13</v>
      </c>
      <c r="C14" s="48"/>
      <c r="D14" s="48"/>
      <c r="E14" s="48"/>
      <c r="F14" s="48"/>
      <c r="G14" s="48"/>
      <c r="H14" s="48"/>
    </row>
    <row r="15" spans="1:8" x14ac:dyDescent="0.3">
      <c r="A15" s="5" t="s">
        <v>14</v>
      </c>
      <c r="B15" s="49" t="s">
        <v>15</v>
      </c>
      <c r="C15" s="48"/>
      <c r="D15" s="48"/>
      <c r="E15" s="48"/>
      <c r="F15" s="48"/>
      <c r="G15" s="48"/>
      <c r="H15" s="48"/>
    </row>
    <row r="16" spans="1:8" x14ac:dyDescent="0.3">
      <c r="A16" s="6" t="s">
        <v>16</v>
      </c>
      <c r="B16" s="49" t="s">
        <v>17</v>
      </c>
      <c r="C16" s="48"/>
      <c r="D16" s="48"/>
      <c r="E16" s="48"/>
      <c r="F16" s="48"/>
      <c r="G16" s="48"/>
      <c r="H16" s="48"/>
    </row>
    <row r="17" spans="1:8" x14ac:dyDescent="0.3">
      <c r="A17" s="7" t="s">
        <v>18</v>
      </c>
      <c r="B17" s="49" t="s">
        <v>19</v>
      </c>
      <c r="C17" s="48"/>
      <c r="D17" s="48"/>
      <c r="E17" s="48"/>
      <c r="F17" s="48"/>
      <c r="G17" s="48"/>
      <c r="H17" s="48"/>
    </row>
    <row r="19" spans="1:8" x14ac:dyDescent="0.3">
      <c r="A19" s="2" t="s">
        <v>20</v>
      </c>
    </row>
    <row r="20" spans="1:8" x14ac:dyDescent="0.3">
      <c r="A20" s="49" t="s">
        <v>21</v>
      </c>
      <c r="B20" s="48"/>
      <c r="C20" s="48"/>
      <c r="D20" s="48"/>
      <c r="E20" s="48"/>
      <c r="F20" s="48"/>
      <c r="G20" s="48"/>
      <c r="H20" s="48"/>
    </row>
    <row r="21" spans="1:8" x14ac:dyDescent="0.3">
      <c r="A21" s="49" t="s">
        <v>22</v>
      </c>
      <c r="B21" s="48"/>
      <c r="C21" s="48"/>
      <c r="D21" s="48"/>
      <c r="E21" s="48"/>
      <c r="F21" s="48"/>
      <c r="G21" s="48"/>
      <c r="H21" s="48"/>
    </row>
    <row r="23" spans="1:8" x14ac:dyDescent="0.3">
      <c r="A23" s="2" t="s">
        <v>23</v>
      </c>
    </row>
    <row r="24" spans="1:8" x14ac:dyDescent="0.3">
      <c r="A24" s="8" t="s">
        <v>24</v>
      </c>
      <c r="B24" s="8" t="s">
        <v>25</v>
      </c>
      <c r="C24" s="8" t="s">
        <v>26</v>
      </c>
      <c r="D24" s="8" t="s">
        <v>27</v>
      </c>
      <c r="E24" s="8" t="s">
        <v>28</v>
      </c>
    </row>
    <row r="25" spans="1:8" ht="25.95" customHeight="1" x14ac:dyDescent="0.3">
      <c r="A25" s="9" t="s">
        <v>29</v>
      </c>
      <c r="B25" s="10" t="s">
        <v>30</v>
      </c>
      <c r="C25" s="10" t="s">
        <v>31</v>
      </c>
      <c r="D25" s="10" t="s">
        <v>32</v>
      </c>
      <c r="E25" s="10" t="s">
        <v>33</v>
      </c>
    </row>
    <row r="26" spans="1:8" ht="25.95" customHeight="1" x14ac:dyDescent="0.3">
      <c r="A26" s="11" t="s">
        <v>34</v>
      </c>
      <c r="B26" s="12" t="s">
        <v>35</v>
      </c>
      <c r="C26" s="12" t="s">
        <v>36</v>
      </c>
      <c r="D26" s="12" t="s">
        <v>37</v>
      </c>
      <c r="E26" s="12" t="s">
        <v>38</v>
      </c>
    </row>
    <row r="27" spans="1:8" ht="25.95" customHeight="1" x14ac:dyDescent="0.3">
      <c r="A27" s="9" t="s">
        <v>39</v>
      </c>
      <c r="B27" s="10" t="s">
        <v>40</v>
      </c>
      <c r="C27" s="10" t="s">
        <v>41</v>
      </c>
      <c r="D27" s="10" t="s">
        <v>32</v>
      </c>
      <c r="E27" s="10" t="s">
        <v>42</v>
      </c>
    </row>
    <row r="28" spans="1:8" ht="25.95" customHeight="1" x14ac:dyDescent="0.3">
      <c r="A28" s="11" t="s">
        <v>43</v>
      </c>
      <c r="B28" s="12" t="s">
        <v>44</v>
      </c>
      <c r="C28" s="12" t="s">
        <v>45</v>
      </c>
      <c r="D28" s="12" t="s">
        <v>32</v>
      </c>
      <c r="E28" s="12" t="s">
        <v>42</v>
      </c>
    </row>
    <row r="29" spans="1:8" ht="25.95" customHeight="1" x14ac:dyDescent="0.3">
      <c r="A29" s="9" t="s">
        <v>46</v>
      </c>
      <c r="B29" s="10" t="s">
        <v>47</v>
      </c>
      <c r="C29" s="10" t="s">
        <v>48</v>
      </c>
      <c r="D29" s="10" t="s">
        <v>32</v>
      </c>
      <c r="E29" s="10" t="s">
        <v>42</v>
      </c>
    </row>
    <row r="30" spans="1:8" ht="25.95" customHeight="1" x14ac:dyDescent="0.3">
      <c r="A30" s="11" t="s">
        <v>49</v>
      </c>
      <c r="B30" s="12" t="s">
        <v>50</v>
      </c>
      <c r="C30" s="12" t="s">
        <v>51</v>
      </c>
      <c r="D30" s="12" t="s">
        <v>52</v>
      </c>
      <c r="E30" s="12" t="s">
        <v>38</v>
      </c>
    </row>
    <row r="31" spans="1:8" ht="25.95" customHeight="1" x14ac:dyDescent="0.3">
      <c r="A31" s="9" t="s">
        <v>53</v>
      </c>
      <c r="B31" s="10" t="s">
        <v>54</v>
      </c>
      <c r="C31" s="10" t="s">
        <v>55</v>
      </c>
      <c r="D31" s="10" t="s">
        <v>56</v>
      </c>
      <c r="E31" s="10" t="s">
        <v>38</v>
      </c>
    </row>
    <row r="32" spans="1:8" ht="25.95" customHeight="1" x14ac:dyDescent="0.3">
      <c r="A32" s="11" t="s">
        <v>57</v>
      </c>
      <c r="B32" s="12" t="s">
        <v>58</v>
      </c>
      <c r="C32" s="12" t="s">
        <v>59</v>
      </c>
      <c r="D32" s="12" t="s">
        <v>32</v>
      </c>
      <c r="E32" s="12" t="s">
        <v>60</v>
      </c>
    </row>
    <row r="34" spans="1:8" x14ac:dyDescent="0.3">
      <c r="A34" s="50" t="s">
        <v>61</v>
      </c>
      <c r="B34" s="48"/>
      <c r="C34" s="48"/>
      <c r="D34" s="48"/>
      <c r="E34" s="48"/>
      <c r="F34" s="48"/>
      <c r="G34" s="48"/>
      <c r="H34" s="48"/>
    </row>
  </sheetData>
  <mergeCells count="16">
    <mergeCell ref="A34:H34"/>
    <mergeCell ref="A1:H1"/>
    <mergeCell ref="A9:H9"/>
    <mergeCell ref="B14:H14"/>
    <mergeCell ref="A21:H21"/>
    <mergeCell ref="B17:H17"/>
    <mergeCell ref="A7:H7"/>
    <mergeCell ref="B13:H13"/>
    <mergeCell ref="A20:H20"/>
    <mergeCell ref="A2:H2"/>
    <mergeCell ref="A10:H10"/>
    <mergeCell ref="B16:H16"/>
    <mergeCell ref="B15:H15"/>
    <mergeCell ref="A5:H5"/>
    <mergeCell ref="A8:H8"/>
    <mergeCell ref="A6:H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808080"/>
  </sheetPr>
  <dimension ref="A1:I67"/>
  <sheetViews>
    <sheetView showGridLines="0" workbookViewId="0">
      <pane xSplit="3" ySplit="2" topLeftCell="E28" activePane="bottomRight" state="frozen"/>
      <selection pane="topRight"/>
      <selection pane="bottomLeft"/>
      <selection pane="bottomRight" sqref="A1:I1"/>
    </sheetView>
  </sheetViews>
  <sheetFormatPr defaultRowHeight="14.4" x14ac:dyDescent="0.3"/>
  <cols>
    <col min="1" max="1" width="26" customWidth="1"/>
    <col min="2" max="3" width="8" customWidth="1"/>
    <col min="4" max="8" width="9" customWidth="1"/>
    <col min="9" max="9" width="30" customWidth="1"/>
  </cols>
  <sheetData>
    <row r="1" spans="1:9" ht="24" customHeight="1" x14ac:dyDescent="0.3">
      <c r="A1" s="47" t="s">
        <v>62</v>
      </c>
      <c r="B1" s="48"/>
      <c r="C1" s="48"/>
      <c r="D1" s="48"/>
      <c r="E1" s="48"/>
      <c r="F1" s="48"/>
      <c r="G1" s="48"/>
      <c r="H1" s="48"/>
      <c r="I1" s="48"/>
    </row>
    <row r="2" spans="1:9" x14ac:dyDescent="0.3">
      <c r="A2" s="50" t="s">
        <v>63</v>
      </c>
      <c r="B2" s="48"/>
      <c r="C2" s="48"/>
      <c r="D2" s="48"/>
      <c r="E2" s="48"/>
      <c r="F2" s="48"/>
      <c r="G2" s="48"/>
      <c r="H2" s="48"/>
      <c r="I2" s="48"/>
    </row>
    <row r="4" spans="1:9" x14ac:dyDescent="0.3">
      <c r="A4" s="2" t="s">
        <v>64</v>
      </c>
    </row>
    <row r="5" spans="1:9" x14ac:dyDescent="0.3">
      <c r="A5" s="8" t="s">
        <v>65</v>
      </c>
      <c r="B5" s="8" t="s">
        <v>66</v>
      </c>
      <c r="C5" s="8" t="s">
        <v>67</v>
      </c>
      <c r="D5" s="8" t="s">
        <v>68</v>
      </c>
      <c r="E5" s="8" t="s">
        <v>69</v>
      </c>
      <c r="F5" s="8" t="s">
        <v>70</v>
      </c>
      <c r="G5" s="13" t="s">
        <v>71</v>
      </c>
      <c r="H5" s="13" t="s">
        <v>72</v>
      </c>
      <c r="I5" s="8" t="s">
        <v>73</v>
      </c>
    </row>
    <row r="6" spans="1:9" x14ac:dyDescent="0.3">
      <c r="A6" s="14" t="s">
        <v>74</v>
      </c>
      <c r="B6" s="15">
        <v>1</v>
      </c>
      <c r="C6" s="15">
        <v>0</v>
      </c>
      <c r="D6" s="16">
        <v>211.9</v>
      </c>
      <c r="E6" s="16">
        <v>262.7</v>
      </c>
      <c r="F6" s="16">
        <v>256.60000000000002</v>
      </c>
      <c r="G6" s="17">
        <v>34</v>
      </c>
      <c r="H6" s="17">
        <v>0</v>
      </c>
      <c r="I6" s="18"/>
    </row>
    <row r="7" spans="1:9" x14ac:dyDescent="0.3">
      <c r="A7" s="14" t="s">
        <v>75</v>
      </c>
      <c r="B7" s="15">
        <v>1</v>
      </c>
      <c r="C7" s="15">
        <v>1</v>
      </c>
      <c r="D7" s="16">
        <v>124.4</v>
      </c>
      <c r="E7" s="16">
        <v>99.1</v>
      </c>
      <c r="F7" s="16">
        <v>128.69999999999999</v>
      </c>
      <c r="G7" s="17">
        <v>104.2</v>
      </c>
      <c r="H7" s="17">
        <v>73.099999999999994</v>
      </c>
      <c r="I7" s="18"/>
    </row>
    <row r="8" spans="1:9" x14ac:dyDescent="0.3">
      <c r="A8" s="14" t="s">
        <v>76</v>
      </c>
      <c r="B8" s="15">
        <v>1</v>
      </c>
      <c r="C8" s="15">
        <v>1</v>
      </c>
      <c r="D8" s="16">
        <v>35.700000000000003</v>
      </c>
      <c r="E8" s="16">
        <v>18.899999999999999</v>
      </c>
      <c r="F8" s="16">
        <v>77.099999999999994</v>
      </c>
      <c r="G8" s="17">
        <v>85.1</v>
      </c>
      <c r="H8" s="17">
        <v>80.8</v>
      </c>
      <c r="I8" s="18"/>
    </row>
    <row r="9" spans="1:9" x14ac:dyDescent="0.3">
      <c r="A9" s="14" t="s">
        <v>77</v>
      </c>
      <c r="B9" s="15">
        <v>0</v>
      </c>
      <c r="C9" s="15">
        <v>0</v>
      </c>
      <c r="D9" s="16">
        <v>53.7</v>
      </c>
      <c r="E9" s="16">
        <v>12.4</v>
      </c>
      <c r="F9" s="16">
        <v>85.3</v>
      </c>
      <c r="G9" s="17">
        <v>46</v>
      </c>
      <c r="H9" s="17">
        <v>0</v>
      </c>
      <c r="I9" s="18"/>
    </row>
    <row r="10" spans="1:9" x14ac:dyDescent="0.3">
      <c r="A10" s="14" t="s">
        <v>78</v>
      </c>
      <c r="B10" s="15">
        <v>1</v>
      </c>
      <c r="C10" s="15">
        <v>0</v>
      </c>
      <c r="D10" s="16">
        <v>0</v>
      </c>
      <c r="E10" s="16">
        <v>0</v>
      </c>
      <c r="F10" s="16">
        <v>33.299999999999997</v>
      </c>
      <c r="G10" s="17">
        <v>99.1</v>
      </c>
      <c r="H10" s="17">
        <v>49.8</v>
      </c>
      <c r="I10" s="18"/>
    </row>
    <row r="11" spans="1:9" x14ac:dyDescent="0.3">
      <c r="A11" s="14" t="s">
        <v>79</v>
      </c>
      <c r="B11" s="15">
        <v>1</v>
      </c>
      <c r="C11" s="15">
        <v>1</v>
      </c>
      <c r="D11" s="16">
        <v>24.2</v>
      </c>
      <c r="E11" s="16">
        <v>37.4</v>
      </c>
      <c r="F11" s="16">
        <v>27.5</v>
      </c>
      <c r="G11" s="17">
        <v>11.1</v>
      </c>
      <c r="H11" s="17">
        <v>47.4</v>
      </c>
      <c r="I11" s="18"/>
    </row>
    <row r="12" spans="1:9" x14ac:dyDescent="0.3">
      <c r="A12" s="14" t="s">
        <v>80</v>
      </c>
      <c r="B12" s="15">
        <v>1</v>
      </c>
      <c r="C12" s="15">
        <v>0</v>
      </c>
      <c r="D12" s="16">
        <v>65.400000000000006</v>
      </c>
      <c r="E12" s="16">
        <v>33.6</v>
      </c>
      <c r="F12" s="16">
        <v>15.9</v>
      </c>
      <c r="G12" s="17">
        <v>0</v>
      </c>
      <c r="H12" s="17">
        <v>0</v>
      </c>
      <c r="I12" s="18"/>
    </row>
    <row r="13" spans="1:9" x14ac:dyDescent="0.3">
      <c r="A13" s="14" t="s">
        <v>81</v>
      </c>
      <c r="B13" s="15">
        <v>1</v>
      </c>
      <c r="C13" s="15">
        <v>0</v>
      </c>
      <c r="D13" s="16">
        <v>17.899999999999999</v>
      </c>
      <c r="E13" s="16">
        <v>20.100000000000001</v>
      </c>
      <c r="F13" s="16">
        <v>8.9</v>
      </c>
      <c r="G13" s="17">
        <v>17.899999999999999</v>
      </c>
      <c r="H13" s="17">
        <v>32.9</v>
      </c>
      <c r="I13" s="18"/>
    </row>
    <row r="14" spans="1:9" x14ac:dyDescent="0.3">
      <c r="A14" s="14" t="s">
        <v>82</v>
      </c>
      <c r="B14" s="15">
        <v>1</v>
      </c>
      <c r="C14" s="15">
        <v>1</v>
      </c>
      <c r="D14" s="16">
        <v>16.8</v>
      </c>
      <c r="E14" s="16">
        <v>17.399999999999999</v>
      </c>
      <c r="F14" s="16">
        <v>15.9</v>
      </c>
      <c r="G14" s="17">
        <v>3.3</v>
      </c>
      <c r="H14" s="17">
        <v>41.9</v>
      </c>
      <c r="I14" s="18"/>
    </row>
    <row r="15" spans="1:9" x14ac:dyDescent="0.3">
      <c r="A15" s="14" t="s">
        <v>83</v>
      </c>
      <c r="B15" s="15">
        <v>1</v>
      </c>
      <c r="C15" s="15">
        <v>0</v>
      </c>
      <c r="D15" s="16">
        <v>16.3</v>
      </c>
      <c r="E15" s="16">
        <v>18.899999999999999</v>
      </c>
      <c r="F15" s="16">
        <v>17.2</v>
      </c>
      <c r="G15" s="17">
        <v>0</v>
      </c>
      <c r="H15" s="17">
        <v>19.899999999999999</v>
      </c>
      <c r="I15" s="18"/>
    </row>
    <row r="16" spans="1:9" x14ac:dyDescent="0.3">
      <c r="A16" s="14" t="s">
        <v>84</v>
      </c>
      <c r="B16" s="15">
        <v>1</v>
      </c>
      <c r="C16" s="15">
        <v>0</v>
      </c>
      <c r="D16" s="16">
        <v>0</v>
      </c>
      <c r="E16" s="16">
        <v>0</v>
      </c>
      <c r="F16" s="16">
        <v>0</v>
      </c>
      <c r="G16" s="17">
        <v>36.4</v>
      </c>
      <c r="H16" s="17">
        <v>17</v>
      </c>
      <c r="I16" s="18"/>
    </row>
    <row r="17" spans="1:9" x14ac:dyDescent="0.3">
      <c r="A17" s="14" t="s">
        <v>85</v>
      </c>
      <c r="B17" s="15">
        <v>1</v>
      </c>
      <c r="C17" s="15">
        <v>1</v>
      </c>
      <c r="D17" s="16">
        <v>0</v>
      </c>
      <c r="E17" s="16">
        <v>9.9</v>
      </c>
      <c r="F17" s="16">
        <v>23.1</v>
      </c>
      <c r="G17" s="17">
        <v>19.899999999999999</v>
      </c>
      <c r="H17" s="17">
        <v>0</v>
      </c>
      <c r="I17" s="18"/>
    </row>
    <row r="18" spans="1:9" x14ac:dyDescent="0.3">
      <c r="A18" s="14" t="s">
        <v>86</v>
      </c>
      <c r="B18" s="15">
        <v>1</v>
      </c>
      <c r="C18" s="15">
        <v>1</v>
      </c>
      <c r="D18" s="16">
        <v>16.100000000000001</v>
      </c>
      <c r="E18" s="16">
        <v>0</v>
      </c>
      <c r="F18" s="16">
        <v>17.2</v>
      </c>
      <c r="G18" s="17">
        <v>0</v>
      </c>
      <c r="H18" s="17">
        <v>17</v>
      </c>
      <c r="I18" s="18"/>
    </row>
    <row r="19" spans="1:9" x14ac:dyDescent="0.3">
      <c r="A19" s="14" t="s">
        <v>87</v>
      </c>
      <c r="B19" s="15">
        <v>1</v>
      </c>
      <c r="C19" s="15">
        <v>1</v>
      </c>
      <c r="D19" s="16">
        <v>12.8</v>
      </c>
      <c r="E19" s="16">
        <v>4.8</v>
      </c>
      <c r="F19" s="16">
        <v>9.1</v>
      </c>
      <c r="G19" s="17">
        <v>3.3</v>
      </c>
      <c r="H19" s="17">
        <v>4.7</v>
      </c>
      <c r="I19" s="18"/>
    </row>
    <row r="20" spans="1:9" x14ac:dyDescent="0.3">
      <c r="A20" s="14" t="s">
        <v>88</v>
      </c>
      <c r="B20" s="15">
        <v>1</v>
      </c>
      <c r="C20" s="15">
        <v>1</v>
      </c>
      <c r="D20" s="16">
        <v>0</v>
      </c>
      <c r="E20" s="16">
        <v>0</v>
      </c>
      <c r="F20" s="16">
        <v>31.3</v>
      </c>
      <c r="G20" s="17">
        <v>0</v>
      </c>
      <c r="H20" s="17">
        <v>0</v>
      </c>
      <c r="I20" s="18"/>
    </row>
    <row r="21" spans="1:9" x14ac:dyDescent="0.3">
      <c r="A21" s="14" t="s">
        <v>89</v>
      </c>
      <c r="B21" s="15">
        <v>1</v>
      </c>
      <c r="C21" s="15">
        <v>0</v>
      </c>
      <c r="D21" s="16">
        <v>18.2</v>
      </c>
      <c r="E21" s="16">
        <v>0</v>
      </c>
      <c r="F21" s="16">
        <v>0</v>
      </c>
      <c r="G21" s="17">
        <v>3.4</v>
      </c>
      <c r="H21" s="17">
        <v>0</v>
      </c>
      <c r="I21" s="18"/>
    </row>
    <row r="22" spans="1:9" x14ac:dyDescent="0.3">
      <c r="A22" s="14" t="s">
        <v>90</v>
      </c>
      <c r="B22" s="15">
        <v>1</v>
      </c>
      <c r="C22" s="15">
        <v>1</v>
      </c>
      <c r="D22" s="16">
        <v>0</v>
      </c>
      <c r="E22" s="16">
        <v>20.5</v>
      </c>
      <c r="F22" s="16">
        <v>0</v>
      </c>
      <c r="G22" s="17">
        <v>0</v>
      </c>
      <c r="H22" s="17">
        <v>0</v>
      </c>
      <c r="I22" s="18"/>
    </row>
    <row r="23" spans="1:9" x14ac:dyDescent="0.3">
      <c r="A23" s="14" t="s">
        <v>91</v>
      </c>
      <c r="B23" s="15">
        <v>1</v>
      </c>
      <c r="C23" s="15">
        <v>0</v>
      </c>
      <c r="D23" s="16">
        <v>16.3</v>
      </c>
      <c r="E23" s="16">
        <v>0</v>
      </c>
      <c r="F23" s="16">
        <v>0</v>
      </c>
      <c r="G23" s="17">
        <v>0</v>
      </c>
      <c r="H23" s="17">
        <v>0</v>
      </c>
      <c r="I23" s="18"/>
    </row>
    <row r="24" spans="1:9" x14ac:dyDescent="0.3">
      <c r="A24" s="14" t="s">
        <v>92</v>
      </c>
      <c r="B24" s="15">
        <v>1</v>
      </c>
      <c r="C24" s="15">
        <v>0</v>
      </c>
      <c r="D24" s="16">
        <v>0</v>
      </c>
      <c r="E24" s="16">
        <v>0</v>
      </c>
      <c r="F24" s="16">
        <v>0</v>
      </c>
      <c r="G24" s="17">
        <v>0</v>
      </c>
      <c r="H24" s="17">
        <v>16.100000000000001</v>
      </c>
      <c r="I24" s="18"/>
    </row>
    <row r="25" spans="1:9" x14ac:dyDescent="0.3">
      <c r="A25" s="14" t="s">
        <v>93</v>
      </c>
      <c r="B25" s="15">
        <v>1</v>
      </c>
      <c r="C25" s="15">
        <v>1</v>
      </c>
      <c r="D25" s="16">
        <v>0</v>
      </c>
      <c r="E25" s="16">
        <v>0</v>
      </c>
      <c r="F25" s="16">
        <v>8.6999999999999993</v>
      </c>
      <c r="G25" s="17">
        <v>0</v>
      </c>
      <c r="H25" s="17">
        <v>0</v>
      </c>
      <c r="I25" s="18"/>
    </row>
    <row r="26" spans="1:9" x14ac:dyDescent="0.3">
      <c r="A26" s="14" t="s">
        <v>94</v>
      </c>
      <c r="B26" s="15">
        <v>1</v>
      </c>
      <c r="C26" s="15">
        <v>1</v>
      </c>
      <c r="D26" s="16">
        <v>8.1</v>
      </c>
      <c r="E26" s="16">
        <v>0</v>
      </c>
      <c r="F26" s="16">
        <v>0</v>
      </c>
      <c r="G26" s="17">
        <v>0</v>
      </c>
      <c r="H26" s="17">
        <v>0</v>
      </c>
      <c r="I26" s="18"/>
    </row>
    <row r="27" spans="1:9" x14ac:dyDescent="0.3">
      <c r="A27" s="14" t="s">
        <v>95</v>
      </c>
      <c r="B27" s="15">
        <v>0</v>
      </c>
      <c r="C27" s="15">
        <v>0</v>
      </c>
      <c r="D27" s="16">
        <v>0</v>
      </c>
      <c r="E27" s="16">
        <v>7.9</v>
      </c>
      <c r="F27" s="16">
        <v>0</v>
      </c>
      <c r="G27" s="17">
        <v>0</v>
      </c>
      <c r="H27" s="17">
        <v>0</v>
      </c>
      <c r="I27" s="18"/>
    </row>
    <row r="28" spans="1:9" x14ac:dyDescent="0.3">
      <c r="A28" s="14" t="s">
        <v>96</v>
      </c>
      <c r="B28" s="15">
        <v>1</v>
      </c>
      <c r="C28" s="15">
        <v>0</v>
      </c>
      <c r="D28" s="16">
        <v>0</v>
      </c>
      <c r="E28" s="16">
        <v>6.3</v>
      </c>
      <c r="F28" s="16">
        <v>0</v>
      </c>
      <c r="G28" s="17">
        <v>0</v>
      </c>
      <c r="H28" s="17">
        <v>0</v>
      </c>
      <c r="I28" s="18"/>
    </row>
    <row r="29" spans="1:9" x14ac:dyDescent="0.3">
      <c r="A29" s="14" t="s">
        <v>97</v>
      </c>
      <c r="B29" s="15">
        <v>0</v>
      </c>
      <c r="C29" s="15">
        <v>0</v>
      </c>
      <c r="D29" s="16">
        <v>0</v>
      </c>
      <c r="E29" s="16">
        <v>0</v>
      </c>
      <c r="F29" s="16">
        <v>0</v>
      </c>
      <c r="G29" s="17">
        <v>0</v>
      </c>
      <c r="H29" s="17">
        <v>2.5</v>
      </c>
      <c r="I29" s="18"/>
    </row>
    <row r="30" spans="1:9" x14ac:dyDescent="0.3">
      <c r="A30" s="14" t="s">
        <v>98</v>
      </c>
      <c r="B30" s="15">
        <v>0</v>
      </c>
      <c r="C30" s="15">
        <v>0</v>
      </c>
      <c r="D30" s="16">
        <v>0</v>
      </c>
      <c r="E30" s="16">
        <v>0.1</v>
      </c>
      <c r="F30" s="16">
        <v>0</v>
      </c>
      <c r="G30" s="17">
        <v>0</v>
      </c>
      <c r="H30" s="17">
        <v>0</v>
      </c>
      <c r="I30" s="18"/>
    </row>
    <row r="31" spans="1:9" x14ac:dyDescent="0.3">
      <c r="A31" s="14" t="s">
        <v>99</v>
      </c>
      <c r="B31" s="15">
        <v>0</v>
      </c>
      <c r="C31" s="15">
        <v>0</v>
      </c>
      <c r="D31" s="16">
        <v>0</v>
      </c>
      <c r="E31" s="16">
        <v>0</v>
      </c>
      <c r="F31" s="16">
        <v>0</v>
      </c>
      <c r="G31" s="17">
        <v>0</v>
      </c>
      <c r="H31" s="17">
        <v>0</v>
      </c>
      <c r="I31" s="18"/>
    </row>
    <row r="32" spans="1:9" x14ac:dyDescent="0.3">
      <c r="A32" s="14" t="s">
        <v>100</v>
      </c>
      <c r="B32" s="15">
        <v>1</v>
      </c>
      <c r="C32" s="15">
        <v>1</v>
      </c>
      <c r="D32" s="16">
        <v>0</v>
      </c>
      <c r="E32" s="16">
        <v>0</v>
      </c>
      <c r="F32" s="16">
        <v>0</v>
      </c>
      <c r="G32" s="17">
        <v>0</v>
      </c>
      <c r="H32" s="17">
        <v>0</v>
      </c>
      <c r="I32" s="18"/>
    </row>
    <row r="33" spans="1:9" x14ac:dyDescent="0.3">
      <c r="A33" s="14" t="s">
        <v>101</v>
      </c>
      <c r="B33" s="15">
        <v>1</v>
      </c>
      <c r="C33" s="15">
        <v>1</v>
      </c>
      <c r="D33" s="16">
        <v>0</v>
      </c>
      <c r="E33" s="16">
        <v>0</v>
      </c>
      <c r="F33" s="16">
        <v>0</v>
      </c>
      <c r="G33" s="17">
        <v>0</v>
      </c>
      <c r="H33" s="17">
        <v>0</v>
      </c>
      <c r="I33" s="18"/>
    </row>
    <row r="34" spans="1:9" x14ac:dyDescent="0.3">
      <c r="A34" s="19" t="s">
        <v>102</v>
      </c>
      <c r="B34" s="19"/>
      <c r="C34" s="19"/>
      <c r="D34" s="20">
        <f>SUMPRODUCT($B$6:$B$33,D6:D33)</f>
        <v>584.1</v>
      </c>
      <c r="E34" s="20">
        <f>SUMPRODUCT($B$6:$B$33,E6:E33)</f>
        <v>549.5999999999998</v>
      </c>
      <c r="F34" s="20">
        <f>SUMPRODUCT($B$6:$B$33,F6:F33)</f>
        <v>670.50000000000011</v>
      </c>
      <c r="G34" s="20">
        <f>SUMPRODUCT($B$6:$B$33,G6:G33)</f>
        <v>417.69999999999993</v>
      </c>
      <c r="H34" s="20">
        <f>SUMPRODUCT($B$6:$B$33,H6:H33)</f>
        <v>400.59999999999997</v>
      </c>
      <c r="I34" s="19"/>
    </row>
    <row r="35" spans="1:9" x14ac:dyDescent="0.3">
      <c r="A35" s="21" t="s">
        <v>103</v>
      </c>
      <c r="B35" s="21"/>
      <c r="C35" s="21"/>
      <c r="D35" s="22">
        <f>SUMPRODUCT($C$6:$C$33,D6:D33)</f>
        <v>238.10000000000002</v>
      </c>
      <c r="E35" s="22">
        <f>SUMPRODUCT($C$6:$C$33,E6:E33)</f>
        <v>208.00000000000003</v>
      </c>
      <c r="F35" s="22">
        <f>SUMPRODUCT($C$6:$C$33,F6:F33)</f>
        <v>338.6</v>
      </c>
      <c r="G35" s="22">
        <f>SUMPRODUCT($C$6:$C$33,G6:G33)</f>
        <v>226.90000000000003</v>
      </c>
      <c r="H35" s="22">
        <f>SUMPRODUCT($C$6:$C$33,H6:H33)</f>
        <v>264.89999999999998</v>
      </c>
      <c r="I35" s="21"/>
    </row>
    <row r="36" spans="1:9" x14ac:dyDescent="0.3">
      <c r="A36" s="21" t="s">
        <v>104</v>
      </c>
      <c r="B36" s="21"/>
      <c r="C36" s="21"/>
      <c r="D36" s="22">
        <f>SUM(D6:D33)</f>
        <v>637.79999999999984</v>
      </c>
      <c r="E36" s="22">
        <f>SUM(E6:E33)</f>
        <v>569.99999999999977</v>
      </c>
      <c r="F36" s="22">
        <f>SUM(F6:F33)</f>
        <v>755.8</v>
      </c>
      <c r="G36" s="22">
        <f>SUM(G6:G33)</f>
        <v>463.69999999999993</v>
      </c>
      <c r="H36" s="22">
        <f>SUM(H6:H33)</f>
        <v>403.09999999999997</v>
      </c>
      <c r="I36" s="21"/>
    </row>
    <row r="39" spans="1:9" x14ac:dyDescent="0.3">
      <c r="A39" s="2" t="s">
        <v>105</v>
      </c>
    </row>
    <row r="40" spans="1:9" x14ac:dyDescent="0.3">
      <c r="A40" s="8" t="s">
        <v>65</v>
      </c>
      <c r="B40" s="8" t="s">
        <v>66</v>
      </c>
      <c r="C40" s="8" t="s">
        <v>67</v>
      </c>
      <c r="D40" s="8" t="s">
        <v>68</v>
      </c>
      <c r="E40" s="8" t="s">
        <v>69</v>
      </c>
      <c r="F40" s="8" t="s">
        <v>70</v>
      </c>
      <c r="G40" s="13" t="s">
        <v>71</v>
      </c>
      <c r="H40" s="13" t="s">
        <v>72</v>
      </c>
      <c r="I40" s="8" t="s">
        <v>73</v>
      </c>
    </row>
    <row r="41" spans="1:9" x14ac:dyDescent="0.3">
      <c r="A41" s="14" t="s">
        <v>106</v>
      </c>
      <c r="B41" s="15">
        <v>0</v>
      </c>
      <c r="C41" s="15">
        <v>0</v>
      </c>
      <c r="D41" s="16">
        <v>2938.4</v>
      </c>
      <c r="E41" s="16">
        <v>2926.8</v>
      </c>
      <c r="F41" s="16">
        <v>2942.8</v>
      </c>
      <c r="G41" s="17">
        <v>3472.9</v>
      </c>
      <c r="H41" s="17">
        <v>3325.9</v>
      </c>
      <c r="I41" s="18"/>
    </row>
    <row r="42" spans="1:9" x14ac:dyDescent="0.3">
      <c r="A42" s="14" t="s">
        <v>107</v>
      </c>
      <c r="B42" s="15">
        <v>0</v>
      </c>
      <c r="C42" s="15">
        <v>0</v>
      </c>
      <c r="D42" s="16">
        <v>415.7</v>
      </c>
      <c r="E42" s="16">
        <v>245.4</v>
      </c>
      <c r="F42" s="16">
        <v>300.60000000000002</v>
      </c>
      <c r="G42" s="17">
        <v>335.2</v>
      </c>
      <c r="H42" s="17">
        <v>314.5</v>
      </c>
      <c r="I42" s="18"/>
    </row>
    <row r="43" spans="1:9" x14ac:dyDescent="0.3">
      <c r="A43" s="14" t="s">
        <v>108</v>
      </c>
      <c r="B43" s="15">
        <v>0</v>
      </c>
      <c r="C43" s="15">
        <v>0</v>
      </c>
      <c r="D43" s="16">
        <v>138.69999999999999</v>
      </c>
      <c r="E43" s="16">
        <v>75.900000000000006</v>
      </c>
      <c r="F43" s="16">
        <v>230.1</v>
      </c>
      <c r="G43" s="17">
        <v>285.3</v>
      </c>
      <c r="H43" s="17">
        <v>307.8</v>
      </c>
      <c r="I43" s="18"/>
    </row>
    <row r="44" spans="1:9" x14ac:dyDescent="0.3">
      <c r="A44" s="14" t="s">
        <v>109</v>
      </c>
      <c r="B44" s="15">
        <v>0</v>
      </c>
      <c r="C44" s="15">
        <v>0</v>
      </c>
      <c r="D44" s="16">
        <v>89.5</v>
      </c>
      <c r="E44" s="16">
        <v>133.19999999999999</v>
      </c>
      <c r="F44" s="16">
        <v>116.5</v>
      </c>
      <c r="G44" s="17">
        <v>0</v>
      </c>
      <c r="H44" s="17">
        <v>248.2</v>
      </c>
      <c r="I44" s="18"/>
    </row>
    <row r="45" spans="1:9" x14ac:dyDescent="0.3">
      <c r="A45" s="14" t="s">
        <v>110</v>
      </c>
      <c r="B45" s="15">
        <v>1</v>
      </c>
      <c r="C45" s="15">
        <v>0</v>
      </c>
      <c r="D45" s="16">
        <v>55.4</v>
      </c>
      <c r="E45" s="16">
        <v>23.3</v>
      </c>
      <c r="F45" s="16">
        <v>39.1</v>
      </c>
      <c r="G45" s="17">
        <v>203.3</v>
      </c>
      <c r="H45" s="17">
        <v>200.4</v>
      </c>
      <c r="I45" s="18"/>
    </row>
    <row r="46" spans="1:9" x14ac:dyDescent="0.3">
      <c r="A46" s="14" t="s">
        <v>111</v>
      </c>
      <c r="B46" s="15">
        <v>1</v>
      </c>
      <c r="C46" s="15">
        <v>0</v>
      </c>
      <c r="D46" s="16">
        <v>0</v>
      </c>
      <c r="E46" s="16">
        <v>0</v>
      </c>
      <c r="F46" s="16">
        <v>0</v>
      </c>
      <c r="G46" s="17">
        <v>157.5</v>
      </c>
      <c r="H46" s="17">
        <v>264.5</v>
      </c>
      <c r="I46" s="18"/>
    </row>
    <row r="47" spans="1:9" x14ac:dyDescent="0.3">
      <c r="A47" s="14" t="s">
        <v>112</v>
      </c>
      <c r="B47" s="15">
        <v>1</v>
      </c>
      <c r="C47" s="15">
        <v>0</v>
      </c>
      <c r="D47" s="16">
        <v>0</v>
      </c>
      <c r="E47" s="16">
        <v>0</v>
      </c>
      <c r="F47" s="16">
        <v>0</v>
      </c>
      <c r="G47" s="17">
        <v>230.6</v>
      </c>
      <c r="H47" s="17">
        <v>185.5</v>
      </c>
      <c r="I47" s="18"/>
    </row>
    <row r="48" spans="1:9" x14ac:dyDescent="0.3">
      <c r="A48" s="14" t="s">
        <v>113</v>
      </c>
      <c r="B48" s="15">
        <v>0</v>
      </c>
      <c r="C48" s="15">
        <v>0</v>
      </c>
      <c r="D48" s="16">
        <v>59.1</v>
      </c>
      <c r="E48" s="16">
        <v>70</v>
      </c>
      <c r="F48" s="16">
        <v>36.200000000000003</v>
      </c>
      <c r="G48" s="17">
        <v>99.1</v>
      </c>
      <c r="H48" s="17">
        <v>143.19999999999999</v>
      </c>
      <c r="I48" s="18"/>
    </row>
    <row r="49" spans="1:9" x14ac:dyDescent="0.3">
      <c r="A49" s="14" t="s">
        <v>114</v>
      </c>
      <c r="B49" s="15">
        <v>1</v>
      </c>
      <c r="C49" s="15">
        <v>1</v>
      </c>
      <c r="D49" s="16">
        <v>76.900000000000006</v>
      </c>
      <c r="E49" s="16">
        <v>116.5</v>
      </c>
      <c r="F49" s="16">
        <v>64.5</v>
      </c>
      <c r="G49" s="17">
        <v>21.2</v>
      </c>
      <c r="H49" s="17">
        <v>64.5</v>
      </c>
      <c r="I49" s="18"/>
    </row>
    <row r="50" spans="1:9" x14ac:dyDescent="0.3">
      <c r="A50" s="14" t="s">
        <v>115</v>
      </c>
      <c r="B50" s="15">
        <v>1</v>
      </c>
      <c r="C50" s="15">
        <v>0</v>
      </c>
      <c r="D50" s="16">
        <v>33.799999999999997</v>
      </c>
      <c r="E50" s="16">
        <v>87</v>
      </c>
      <c r="F50" s="16">
        <v>51</v>
      </c>
      <c r="G50" s="17">
        <v>24.7</v>
      </c>
      <c r="H50" s="17">
        <v>86</v>
      </c>
      <c r="I50" s="18"/>
    </row>
    <row r="51" spans="1:9" x14ac:dyDescent="0.3">
      <c r="A51" s="14" t="s">
        <v>116</v>
      </c>
      <c r="B51" s="15">
        <v>0</v>
      </c>
      <c r="C51" s="15">
        <v>0</v>
      </c>
      <c r="D51" s="16">
        <v>52.7</v>
      </c>
      <c r="E51" s="16">
        <v>28.9</v>
      </c>
      <c r="F51" s="16">
        <v>22.6</v>
      </c>
      <c r="G51" s="17">
        <v>102.6</v>
      </c>
      <c r="H51" s="17">
        <v>0</v>
      </c>
      <c r="I51" s="18"/>
    </row>
    <row r="52" spans="1:9" x14ac:dyDescent="0.3">
      <c r="A52" s="14" t="s">
        <v>117</v>
      </c>
      <c r="B52" s="15">
        <v>0</v>
      </c>
      <c r="C52" s="15">
        <v>0</v>
      </c>
      <c r="D52" s="16">
        <v>51.7</v>
      </c>
      <c r="E52" s="16">
        <v>35.700000000000003</v>
      </c>
      <c r="F52" s="16">
        <v>33.9</v>
      </c>
      <c r="G52" s="17">
        <v>42.8</v>
      </c>
      <c r="H52" s="17">
        <v>24.8</v>
      </c>
      <c r="I52" s="18"/>
    </row>
    <row r="53" spans="1:9" x14ac:dyDescent="0.3">
      <c r="A53" s="14" t="s">
        <v>118</v>
      </c>
      <c r="B53" s="15">
        <v>1</v>
      </c>
      <c r="C53" s="15">
        <v>0</v>
      </c>
      <c r="D53" s="16">
        <v>0</v>
      </c>
      <c r="E53" s="16">
        <v>26.4</v>
      </c>
      <c r="F53" s="16">
        <v>34.200000000000003</v>
      </c>
      <c r="G53" s="17">
        <v>3.3</v>
      </c>
      <c r="H53" s="17">
        <v>100.2</v>
      </c>
      <c r="I53" s="18"/>
    </row>
    <row r="54" spans="1:9" x14ac:dyDescent="0.3">
      <c r="A54" s="14" t="s">
        <v>119</v>
      </c>
      <c r="B54" s="15">
        <v>0</v>
      </c>
      <c r="C54" s="15">
        <v>0</v>
      </c>
      <c r="D54" s="16">
        <v>0</v>
      </c>
      <c r="E54" s="16">
        <v>0</v>
      </c>
      <c r="F54" s="16">
        <v>0</v>
      </c>
      <c r="G54" s="17">
        <v>32.5</v>
      </c>
      <c r="H54" s="17">
        <v>104.3</v>
      </c>
      <c r="I54" s="18"/>
    </row>
    <row r="55" spans="1:9" x14ac:dyDescent="0.3">
      <c r="A55" s="14" t="s">
        <v>120</v>
      </c>
      <c r="B55" s="15">
        <v>0</v>
      </c>
      <c r="C55" s="15">
        <v>0</v>
      </c>
      <c r="D55" s="16">
        <v>30.6</v>
      </c>
      <c r="E55" s="16">
        <v>17.899999999999999</v>
      </c>
      <c r="F55" s="16">
        <v>32.4</v>
      </c>
      <c r="G55" s="17">
        <v>10</v>
      </c>
      <c r="H55" s="17">
        <v>33.9</v>
      </c>
      <c r="I55" s="18"/>
    </row>
    <row r="56" spans="1:9" x14ac:dyDescent="0.3">
      <c r="A56" s="14" t="s">
        <v>121</v>
      </c>
      <c r="B56" s="15">
        <v>0</v>
      </c>
      <c r="C56" s="15">
        <v>0</v>
      </c>
      <c r="D56" s="16">
        <v>0</v>
      </c>
      <c r="E56" s="16">
        <v>14.3</v>
      </c>
      <c r="F56" s="16">
        <v>0</v>
      </c>
      <c r="G56" s="17">
        <v>70</v>
      </c>
      <c r="H56" s="17">
        <v>22.6</v>
      </c>
      <c r="I56" s="18"/>
    </row>
    <row r="57" spans="1:9" x14ac:dyDescent="0.3">
      <c r="A57" s="14" t="s">
        <v>122</v>
      </c>
      <c r="B57" s="15">
        <v>0</v>
      </c>
      <c r="C57" s="15">
        <v>0</v>
      </c>
      <c r="D57" s="16">
        <v>28.8</v>
      </c>
      <c r="E57" s="16">
        <v>30.4</v>
      </c>
      <c r="F57" s="16">
        <v>23.9</v>
      </c>
      <c r="G57" s="17">
        <v>0</v>
      </c>
      <c r="H57" s="17">
        <v>0</v>
      </c>
      <c r="I57" s="18"/>
    </row>
    <row r="58" spans="1:9" x14ac:dyDescent="0.3">
      <c r="A58" s="14" t="s">
        <v>123</v>
      </c>
      <c r="B58" s="15">
        <v>1</v>
      </c>
      <c r="C58" s="15">
        <v>0</v>
      </c>
      <c r="D58" s="16">
        <v>0</v>
      </c>
      <c r="E58" s="16">
        <v>0</v>
      </c>
      <c r="F58" s="16">
        <v>0</v>
      </c>
      <c r="G58" s="17">
        <v>22.2</v>
      </c>
      <c r="H58" s="17">
        <v>34.1</v>
      </c>
      <c r="I58" s="18"/>
    </row>
    <row r="59" spans="1:9" x14ac:dyDescent="0.3">
      <c r="A59" s="14" t="s">
        <v>124</v>
      </c>
      <c r="B59" s="15">
        <v>0</v>
      </c>
      <c r="C59" s="15">
        <v>0</v>
      </c>
      <c r="D59" s="16">
        <v>0</v>
      </c>
      <c r="E59" s="16">
        <v>0</v>
      </c>
      <c r="F59" s="16">
        <v>0</v>
      </c>
      <c r="G59" s="17">
        <v>32.6</v>
      </c>
      <c r="H59" s="17">
        <v>20.7</v>
      </c>
      <c r="I59" s="18"/>
    </row>
    <row r="60" spans="1:9" x14ac:dyDescent="0.3">
      <c r="A60" s="14" t="s">
        <v>125</v>
      </c>
      <c r="B60" s="15">
        <v>0</v>
      </c>
      <c r="C60" s="15">
        <v>0</v>
      </c>
      <c r="D60" s="16">
        <v>0</v>
      </c>
      <c r="E60" s="16">
        <v>0</v>
      </c>
      <c r="F60" s="16">
        <v>0</v>
      </c>
      <c r="G60" s="17">
        <v>0</v>
      </c>
      <c r="H60" s="17">
        <v>52.7</v>
      </c>
      <c r="I60" s="18"/>
    </row>
    <row r="61" spans="1:9" x14ac:dyDescent="0.3">
      <c r="A61" s="14" t="s">
        <v>126</v>
      </c>
      <c r="B61" s="15">
        <v>0</v>
      </c>
      <c r="C61" s="15">
        <v>0</v>
      </c>
      <c r="D61" s="16">
        <v>0</v>
      </c>
      <c r="E61" s="16">
        <v>0</v>
      </c>
      <c r="F61" s="16">
        <v>0</v>
      </c>
      <c r="G61" s="17">
        <v>22.7</v>
      </c>
      <c r="H61" s="17">
        <v>20.5</v>
      </c>
      <c r="I61" s="18"/>
    </row>
    <row r="62" spans="1:9" x14ac:dyDescent="0.3">
      <c r="A62" s="14" t="s">
        <v>127</v>
      </c>
      <c r="B62" s="15">
        <v>0</v>
      </c>
      <c r="C62" s="15">
        <v>0</v>
      </c>
      <c r="D62" s="16">
        <v>0</v>
      </c>
      <c r="E62" s="16">
        <v>0</v>
      </c>
      <c r="F62" s="16">
        <v>0</v>
      </c>
      <c r="G62" s="17">
        <v>0</v>
      </c>
      <c r="H62" s="17">
        <v>22.6</v>
      </c>
      <c r="I62" s="18"/>
    </row>
    <row r="63" spans="1:9" x14ac:dyDescent="0.3">
      <c r="A63" s="14" t="s">
        <v>128</v>
      </c>
      <c r="B63" s="15">
        <v>1</v>
      </c>
      <c r="C63" s="15">
        <v>1</v>
      </c>
      <c r="D63" s="16">
        <v>0</v>
      </c>
      <c r="E63" s="16">
        <v>0</v>
      </c>
      <c r="F63" s="16">
        <v>0</v>
      </c>
      <c r="G63" s="17">
        <v>0</v>
      </c>
      <c r="H63" s="17">
        <v>16.8</v>
      </c>
      <c r="I63" s="18"/>
    </row>
    <row r="64" spans="1:9" x14ac:dyDescent="0.3">
      <c r="A64" s="14" t="s">
        <v>129</v>
      </c>
      <c r="B64" s="15">
        <v>1</v>
      </c>
      <c r="C64" s="15">
        <v>0</v>
      </c>
      <c r="D64" s="16">
        <v>0</v>
      </c>
      <c r="E64" s="16">
        <v>0</v>
      </c>
      <c r="F64" s="16">
        <v>3.1</v>
      </c>
      <c r="G64" s="17">
        <v>0</v>
      </c>
      <c r="H64" s="17">
        <v>0</v>
      </c>
      <c r="I64" s="18"/>
    </row>
    <row r="65" spans="1:9" x14ac:dyDescent="0.3">
      <c r="A65" s="19" t="s">
        <v>102</v>
      </c>
      <c r="B65" s="19"/>
      <c r="C65" s="19"/>
      <c r="D65" s="20">
        <f>SUMPRODUCT($B$41:$B$64,D41:D64)</f>
        <v>166.10000000000002</v>
      </c>
      <c r="E65" s="20">
        <f>SUMPRODUCT($B$41:$B$64,E41:E64)</f>
        <v>253.20000000000002</v>
      </c>
      <c r="F65" s="20">
        <f>SUMPRODUCT($B$41:$B$64,F41:F64)</f>
        <v>191.9</v>
      </c>
      <c r="G65" s="20">
        <f>SUMPRODUCT($B$41:$B$64,G41:G64)</f>
        <v>662.80000000000007</v>
      </c>
      <c r="H65" s="20">
        <f>SUMPRODUCT($B$41:$B$64,H41:H64)</f>
        <v>952</v>
      </c>
      <c r="I65" s="19"/>
    </row>
    <row r="66" spans="1:9" x14ac:dyDescent="0.3">
      <c r="A66" s="21" t="s">
        <v>103</v>
      </c>
      <c r="B66" s="21"/>
      <c r="C66" s="21"/>
      <c r="D66" s="22">
        <f>SUMPRODUCT($C$41:$C$64,D41:D64)</f>
        <v>76.900000000000006</v>
      </c>
      <c r="E66" s="22">
        <f>SUMPRODUCT($C$41:$C$64,E41:E64)</f>
        <v>116.5</v>
      </c>
      <c r="F66" s="22">
        <f>SUMPRODUCT($C$41:$C$64,F41:F64)</f>
        <v>64.5</v>
      </c>
      <c r="G66" s="22">
        <f>SUMPRODUCT($C$41:$C$64,G41:G64)</f>
        <v>21.2</v>
      </c>
      <c r="H66" s="22">
        <f>SUMPRODUCT($C$41:$C$64,H41:H64)</f>
        <v>81.3</v>
      </c>
      <c r="I66" s="21"/>
    </row>
    <row r="67" spans="1:9" x14ac:dyDescent="0.3">
      <c r="A67" s="21" t="s">
        <v>104</v>
      </c>
      <c r="B67" s="21"/>
      <c r="C67" s="21"/>
      <c r="D67" s="22">
        <f>SUM(D41:D64)</f>
        <v>3971.2999999999997</v>
      </c>
      <c r="E67" s="22">
        <f>SUM(E41:E64)</f>
        <v>3831.7000000000007</v>
      </c>
      <c r="F67" s="22">
        <f>SUM(F41:F64)</f>
        <v>3930.8999999999996</v>
      </c>
      <c r="G67" s="22">
        <f>SUM(G41:G64)</f>
        <v>5168.5000000000009</v>
      </c>
      <c r="H67" s="22">
        <f>SUM(H41:H64)</f>
        <v>5593.7000000000007</v>
      </c>
      <c r="I67" s="21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808080"/>
  </sheetPr>
  <dimension ref="A1:J26"/>
  <sheetViews>
    <sheetView showGridLines="0" workbookViewId="0">
      <pane xSplit="4" ySplit="2" topLeftCell="E10" activePane="bottomRight" state="frozen"/>
      <selection pane="topRight"/>
      <selection pane="bottomLeft"/>
      <selection pane="bottomRight" sqref="A1:J1"/>
    </sheetView>
  </sheetViews>
  <sheetFormatPr defaultRowHeight="14.4" x14ac:dyDescent="0.3"/>
  <cols>
    <col min="1" max="1" width="26" customWidth="1"/>
    <col min="2" max="2" width="15" customWidth="1"/>
    <col min="3" max="3" width="22" customWidth="1"/>
    <col min="4" max="4" width="11" customWidth="1"/>
    <col min="5" max="9" width="9" customWidth="1"/>
  </cols>
  <sheetData>
    <row r="1" spans="1:10" ht="24" customHeight="1" x14ac:dyDescent="0.3">
      <c r="A1" s="47" t="s">
        <v>130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x14ac:dyDescent="0.3">
      <c r="A2" s="50" t="s">
        <v>131</v>
      </c>
      <c r="B2" s="48"/>
      <c r="C2" s="48"/>
      <c r="D2" s="48"/>
      <c r="E2" s="48"/>
      <c r="F2" s="48"/>
      <c r="G2" s="48"/>
      <c r="H2" s="48"/>
      <c r="I2" s="48"/>
      <c r="J2" s="48"/>
    </row>
    <row r="4" spans="1:10" x14ac:dyDescent="0.3">
      <c r="A4" s="8" t="s">
        <v>132</v>
      </c>
      <c r="B4" s="8" t="s">
        <v>133</v>
      </c>
      <c r="C4" s="8" t="s">
        <v>134</v>
      </c>
      <c r="D4" s="8" t="s">
        <v>135</v>
      </c>
      <c r="E4" s="8" t="s">
        <v>68</v>
      </c>
      <c r="F4" s="8" t="s">
        <v>69</v>
      </c>
      <c r="G4" s="8" t="s">
        <v>70</v>
      </c>
      <c r="H4" s="13" t="s">
        <v>71</v>
      </c>
      <c r="I4" s="13" t="s">
        <v>72</v>
      </c>
    </row>
    <row r="5" spans="1:10" x14ac:dyDescent="0.3">
      <c r="A5" s="14" t="s">
        <v>115</v>
      </c>
      <c r="B5" s="18" t="s">
        <v>136</v>
      </c>
      <c r="C5" s="18" t="s">
        <v>137</v>
      </c>
      <c r="D5" s="16">
        <v>600</v>
      </c>
      <c r="E5" s="16">
        <v>500</v>
      </c>
      <c r="F5" s="16">
        <v>495</v>
      </c>
      <c r="G5" s="16">
        <v>500</v>
      </c>
      <c r="H5" s="17">
        <v>510</v>
      </c>
      <c r="I5" s="17">
        <v>515</v>
      </c>
    </row>
    <row r="6" spans="1:10" x14ac:dyDescent="0.3">
      <c r="A6" s="14" t="s">
        <v>129</v>
      </c>
      <c r="B6" s="18" t="s">
        <v>138</v>
      </c>
      <c r="C6" s="18" t="s">
        <v>139</v>
      </c>
      <c r="D6" s="16">
        <v>400</v>
      </c>
      <c r="E6" s="16">
        <v>250</v>
      </c>
      <c r="F6" s="16">
        <v>250</v>
      </c>
      <c r="G6" s="16">
        <v>255</v>
      </c>
      <c r="H6" s="17">
        <v>275</v>
      </c>
      <c r="I6" s="17">
        <v>300</v>
      </c>
    </row>
    <row r="7" spans="1:10" x14ac:dyDescent="0.3">
      <c r="A7" s="14" t="s">
        <v>140</v>
      </c>
      <c r="B7" s="18" t="s">
        <v>138</v>
      </c>
      <c r="C7" s="18" t="s">
        <v>141</v>
      </c>
      <c r="D7" s="16">
        <v>700</v>
      </c>
      <c r="E7" s="16">
        <v>325</v>
      </c>
      <c r="F7" s="16">
        <v>320</v>
      </c>
      <c r="G7" s="16">
        <v>330</v>
      </c>
      <c r="H7" s="17">
        <v>345</v>
      </c>
      <c r="I7" s="17">
        <v>350</v>
      </c>
    </row>
    <row r="8" spans="1:10" x14ac:dyDescent="0.3">
      <c r="A8" s="14" t="s">
        <v>142</v>
      </c>
      <c r="B8" s="18" t="s">
        <v>143</v>
      </c>
      <c r="C8" s="18" t="s">
        <v>144</v>
      </c>
      <c r="D8" s="16">
        <v>375</v>
      </c>
      <c r="E8" s="16">
        <v>200</v>
      </c>
      <c r="F8" s="16">
        <v>200</v>
      </c>
      <c r="G8" s="16">
        <v>200</v>
      </c>
      <c r="H8" s="17">
        <v>205</v>
      </c>
      <c r="I8" s="17">
        <v>210</v>
      </c>
    </row>
    <row r="9" spans="1:10" x14ac:dyDescent="0.3">
      <c r="A9" s="14" t="s">
        <v>145</v>
      </c>
      <c r="B9" s="18" t="s">
        <v>146</v>
      </c>
      <c r="C9" s="18" t="s">
        <v>147</v>
      </c>
      <c r="D9" s="16">
        <v>350</v>
      </c>
      <c r="E9" s="16">
        <v>120</v>
      </c>
      <c r="F9" s="16">
        <v>120</v>
      </c>
      <c r="G9" s="16">
        <v>120</v>
      </c>
      <c r="H9" s="17">
        <v>120</v>
      </c>
      <c r="I9" s="17">
        <v>120</v>
      </c>
    </row>
    <row r="10" spans="1:10" x14ac:dyDescent="0.3">
      <c r="A10" s="14" t="s">
        <v>148</v>
      </c>
      <c r="B10" s="18" t="s">
        <v>149</v>
      </c>
      <c r="C10" s="18" t="s">
        <v>150</v>
      </c>
      <c r="D10" s="16">
        <v>200</v>
      </c>
      <c r="E10" s="16">
        <v>90</v>
      </c>
      <c r="F10" s="16">
        <v>90</v>
      </c>
      <c r="G10" s="16">
        <v>92</v>
      </c>
      <c r="H10" s="17">
        <v>95</v>
      </c>
      <c r="I10" s="17">
        <v>98</v>
      </c>
    </row>
    <row r="11" spans="1:10" x14ac:dyDescent="0.3">
      <c r="A11" s="21" t="s">
        <v>151</v>
      </c>
      <c r="B11" s="21"/>
      <c r="C11" s="21"/>
      <c r="D11" s="22">
        <f t="shared" ref="D11:I11" si="0">SUM(D5:D10)</f>
        <v>2625</v>
      </c>
      <c r="E11" s="22">
        <f t="shared" si="0"/>
        <v>1485</v>
      </c>
      <c r="F11" s="22">
        <f t="shared" si="0"/>
        <v>1475</v>
      </c>
      <c r="G11" s="22">
        <f t="shared" si="0"/>
        <v>1497</v>
      </c>
      <c r="H11" s="22">
        <f t="shared" si="0"/>
        <v>1550</v>
      </c>
      <c r="I11" s="22">
        <f t="shared" si="0"/>
        <v>1593</v>
      </c>
    </row>
    <row r="12" spans="1:10" x14ac:dyDescent="0.3">
      <c r="A12" s="14" t="s">
        <v>152</v>
      </c>
      <c r="B12" s="23"/>
      <c r="C12" s="23"/>
      <c r="D12" s="23"/>
      <c r="E12" s="24">
        <f>$D$11-E11</f>
        <v>1140</v>
      </c>
      <c r="F12" s="24">
        <f>$D$11-F11</f>
        <v>1150</v>
      </c>
      <c r="G12" s="24">
        <f>$D$11-G11</f>
        <v>1128</v>
      </c>
      <c r="H12" s="24">
        <f>$D$11-H11</f>
        <v>1075</v>
      </c>
      <c r="I12" s="24">
        <f>$D$11-I11</f>
        <v>1032</v>
      </c>
    </row>
    <row r="14" spans="1:10" x14ac:dyDescent="0.3">
      <c r="A14" s="2" t="s">
        <v>153</v>
      </c>
    </row>
    <row r="15" spans="1:10" x14ac:dyDescent="0.3">
      <c r="A15" s="8" t="s">
        <v>154</v>
      </c>
      <c r="B15" s="8" t="s">
        <v>133</v>
      </c>
      <c r="C15" s="8" t="s">
        <v>155</v>
      </c>
      <c r="D15" s="8" t="s">
        <v>135</v>
      </c>
      <c r="E15" s="8" t="s">
        <v>68</v>
      </c>
      <c r="F15" s="8" t="s">
        <v>69</v>
      </c>
      <c r="G15" s="8" t="s">
        <v>70</v>
      </c>
      <c r="H15" s="13" t="s">
        <v>71</v>
      </c>
      <c r="I15" s="13" t="s">
        <v>72</v>
      </c>
    </row>
    <row r="16" spans="1:10" x14ac:dyDescent="0.3">
      <c r="A16" s="21" t="s">
        <v>156</v>
      </c>
      <c r="B16" s="21"/>
      <c r="C16" s="21"/>
      <c r="D16" s="21"/>
      <c r="E16" s="21"/>
      <c r="F16" s="21"/>
      <c r="G16" s="21"/>
      <c r="H16" s="21"/>
      <c r="I16" s="21"/>
    </row>
    <row r="17" spans="1:9" x14ac:dyDescent="0.3">
      <c r="A17" s="14" t="s">
        <v>157</v>
      </c>
      <c r="B17" s="18" t="s">
        <v>158</v>
      </c>
      <c r="C17" s="18" t="s">
        <v>159</v>
      </c>
      <c r="D17" s="16">
        <v>585</v>
      </c>
      <c r="E17" s="23"/>
      <c r="F17" s="23"/>
      <c r="G17" s="23"/>
      <c r="H17" s="23"/>
      <c r="I17" s="23"/>
    </row>
    <row r="18" spans="1:9" x14ac:dyDescent="0.3">
      <c r="A18" s="14" t="s">
        <v>160</v>
      </c>
      <c r="B18" s="18" t="s">
        <v>158</v>
      </c>
      <c r="C18" s="18" t="s">
        <v>159</v>
      </c>
      <c r="D18" s="16">
        <v>193</v>
      </c>
      <c r="E18" s="23"/>
      <c r="F18" s="23"/>
      <c r="G18" s="23"/>
      <c r="H18" s="23"/>
      <c r="I18" s="23"/>
    </row>
    <row r="19" spans="1:9" x14ac:dyDescent="0.3">
      <c r="A19" s="14" t="s">
        <v>161</v>
      </c>
      <c r="B19" s="18" t="s">
        <v>162</v>
      </c>
      <c r="C19" s="18" t="s">
        <v>163</v>
      </c>
      <c r="D19" s="16">
        <v>591</v>
      </c>
      <c r="E19" s="23"/>
      <c r="F19" s="23"/>
      <c r="G19" s="23"/>
      <c r="H19" s="23"/>
      <c r="I19" s="23"/>
    </row>
    <row r="20" spans="1:9" x14ac:dyDescent="0.3">
      <c r="A20" s="21" t="s">
        <v>164</v>
      </c>
      <c r="B20" s="21"/>
      <c r="C20" s="21"/>
      <c r="D20" s="21"/>
      <c r="E20" s="21"/>
      <c r="F20" s="21"/>
      <c r="G20" s="21"/>
      <c r="H20" s="21"/>
      <c r="I20" s="21"/>
    </row>
    <row r="21" spans="1:9" x14ac:dyDescent="0.3">
      <c r="A21" s="14" t="s">
        <v>165</v>
      </c>
      <c r="B21" s="18" t="s">
        <v>166</v>
      </c>
      <c r="C21" s="18" t="s">
        <v>167</v>
      </c>
      <c r="D21" s="16">
        <v>950</v>
      </c>
      <c r="E21" s="16">
        <v>580</v>
      </c>
      <c r="F21" s="16">
        <v>650</v>
      </c>
      <c r="G21" s="16">
        <v>620</v>
      </c>
      <c r="H21" s="17">
        <v>600</v>
      </c>
      <c r="I21" s="17">
        <v>600</v>
      </c>
    </row>
    <row r="22" spans="1:9" x14ac:dyDescent="0.3">
      <c r="A22" s="14" t="s">
        <v>168</v>
      </c>
      <c r="B22" s="18" t="s">
        <v>162</v>
      </c>
      <c r="C22" s="18" t="s">
        <v>169</v>
      </c>
      <c r="D22" s="16">
        <v>750</v>
      </c>
      <c r="E22" s="16">
        <v>400</v>
      </c>
      <c r="F22" s="16">
        <v>470</v>
      </c>
      <c r="G22" s="16">
        <v>450</v>
      </c>
      <c r="H22" s="17">
        <v>430</v>
      </c>
      <c r="I22" s="17">
        <v>430</v>
      </c>
    </row>
    <row r="23" spans="1:9" x14ac:dyDescent="0.3">
      <c r="A23" s="14" t="s">
        <v>170</v>
      </c>
      <c r="B23" s="18" t="s">
        <v>149</v>
      </c>
      <c r="C23" s="18" t="s">
        <v>171</v>
      </c>
      <c r="D23" s="16">
        <v>150</v>
      </c>
      <c r="E23" s="16">
        <v>74</v>
      </c>
      <c r="F23" s="16">
        <v>87</v>
      </c>
      <c r="G23" s="16">
        <v>81</v>
      </c>
      <c r="H23" s="17">
        <v>70</v>
      </c>
      <c r="I23" s="17">
        <v>70</v>
      </c>
    </row>
    <row r="24" spans="1:9" x14ac:dyDescent="0.3">
      <c r="A24" s="19" t="s">
        <v>172</v>
      </c>
      <c r="B24" s="19"/>
      <c r="C24" s="19"/>
      <c r="D24" s="20">
        <f t="shared" ref="D24:I24" si="1">SUM(D21:D23)</f>
        <v>1850</v>
      </c>
      <c r="E24" s="20">
        <f t="shared" si="1"/>
        <v>1054</v>
      </c>
      <c r="F24" s="20">
        <f t="shared" si="1"/>
        <v>1207</v>
      </c>
      <c r="G24" s="20">
        <f t="shared" si="1"/>
        <v>1151</v>
      </c>
      <c r="H24" s="20">
        <f t="shared" si="1"/>
        <v>1100</v>
      </c>
      <c r="I24" s="20">
        <f t="shared" si="1"/>
        <v>1100</v>
      </c>
    </row>
    <row r="25" spans="1:9" x14ac:dyDescent="0.3">
      <c r="A25" s="14" t="s">
        <v>173</v>
      </c>
      <c r="B25" s="23"/>
      <c r="C25" s="23"/>
      <c r="D25" s="23"/>
      <c r="E25" s="16">
        <v>1054</v>
      </c>
      <c r="F25" s="16">
        <v>1207</v>
      </c>
      <c r="G25" s="16">
        <v>1151</v>
      </c>
      <c r="H25" s="17">
        <v>1100</v>
      </c>
      <c r="I25" s="17">
        <v>1100</v>
      </c>
    </row>
    <row r="26" spans="1:9" x14ac:dyDescent="0.3">
      <c r="A26" s="18" t="s">
        <v>174</v>
      </c>
      <c r="B26" s="23"/>
      <c r="C26" s="23"/>
      <c r="D26" s="23"/>
      <c r="E26" s="25">
        <f>E24-E25</f>
        <v>0</v>
      </c>
      <c r="F26" s="25">
        <f>F24-F25</f>
        <v>0</v>
      </c>
      <c r="G26" s="25">
        <f>G24-G25</f>
        <v>0</v>
      </c>
      <c r="H26" s="25">
        <f>H24-H25</f>
        <v>0</v>
      </c>
      <c r="I26" s="25">
        <f>I24-I25</f>
        <v>0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</sheetPr>
  <dimension ref="A1:V42"/>
  <sheetViews>
    <sheetView showGridLines="0" workbookViewId="0">
      <pane xSplit="3" ySplit="2" topLeftCell="D51" activePane="bottomRight" state="frozen"/>
      <selection pane="topRight"/>
      <selection pane="bottomLeft"/>
      <selection pane="bottomRight" activeCell="B29" sqref="B29"/>
    </sheetView>
  </sheetViews>
  <sheetFormatPr defaultRowHeight="14.4" x14ac:dyDescent="0.3"/>
  <cols>
    <col min="1" max="1" width="24" customWidth="1"/>
    <col min="2" max="2" width="15" customWidth="1"/>
    <col min="3" max="3" width="5" customWidth="1"/>
    <col min="4" max="4" width="10" customWidth="1"/>
    <col min="5" max="6" width="9" customWidth="1"/>
    <col min="7" max="21" width="7" customWidth="1"/>
    <col min="22" max="22" width="18" customWidth="1"/>
  </cols>
  <sheetData>
    <row r="1" spans="1:22" ht="24" customHeight="1" x14ac:dyDescent="0.3">
      <c r="A1" s="47" t="s">
        <v>175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48"/>
      <c r="T1" s="48"/>
      <c r="U1" s="48"/>
      <c r="V1" s="48"/>
    </row>
    <row r="2" spans="1:22" x14ac:dyDescent="0.3">
      <c r="A2" s="50" t="s">
        <v>176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48"/>
      <c r="T2" s="48"/>
      <c r="U2" s="48"/>
      <c r="V2" s="48"/>
    </row>
    <row r="4" spans="1:22" x14ac:dyDescent="0.3">
      <c r="A4" s="2" t="s">
        <v>177</v>
      </c>
    </row>
    <row r="5" spans="1:22" x14ac:dyDescent="0.3">
      <c r="A5" s="54" t="s">
        <v>178</v>
      </c>
      <c r="B5" s="52"/>
      <c r="C5" s="53"/>
      <c r="D5" s="26">
        <v>0.95</v>
      </c>
    </row>
    <row r="6" spans="1:22" x14ac:dyDescent="0.3">
      <c r="A6" s="54" t="s">
        <v>179</v>
      </c>
      <c r="B6" s="52"/>
      <c r="C6" s="53"/>
      <c r="D6" s="26">
        <v>0.38</v>
      </c>
    </row>
    <row r="7" spans="1:22" x14ac:dyDescent="0.3">
      <c r="A7" s="54" t="s">
        <v>180</v>
      </c>
      <c r="B7" s="52"/>
      <c r="C7" s="53"/>
      <c r="D7" s="26">
        <v>0.95</v>
      </c>
    </row>
    <row r="8" spans="1:22" x14ac:dyDescent="0.3">
      <c r="A8" s="54" t="s">
        <v>181</v>
      </c>
      <c r="B8" s="52"/>
      <c r="C8" s="53"/>
      <c r="D8" s="26">
        <v>0.45</v>
      </c>
    </row>
    <row r="9" spans="1:22" x14ac:dyDescent="0.3">
      <c r="A9" s="50" t="s">
        <v>182</v>
      </c>
      <c r="B9" s="48"/>
      <c r="C9" s="48"/>
      <c r="D9" s="48"/>
      <c r="E9" s="48"/>
      <c r="F9" s="48"/>
      <c r="G9" s="48"/>
      <c r="H9" s="48"/>
      <c r="I9" s="48"/>
      <c r="J9" s="48"/>
      <c r="K9" s="48"/>
      <c r="L9" s="48"/>
      <c r="M9" s="48"/>
      <c r="N9" s="48"/>
      <c r="O9" s="48"/>
      <c r="P9" s="48"/>
      <c r="Q9" s="48"/>
      <c r="R9" s="48"/>
      <c r="S9" s="48"/>
      <c r="T9" s="48"/>
      <c r="U9" s="48"/>
      <c r="V9" s="48"/>
    </row>
    <row r="11" spans="1:22" x14ac:dyDescent="0.3">
      <c r="A11" s="2" t="s">
        <v>183</v>
      </c>
    </row>
    <row r="12" spans="1:22" x14ac:dyDescent="0.3">
      <c r="A12" s="27"/>
      <c r="B12" s="27"/>
      <c r="C12" s="27"/>
      <c r="D12" s="27"/>
      <c r="E12" s="27"/>
      <c r="F12" s="27"/>
      <c r="G12" s="51" t="s">
        <v>184</v>
      </c>
      <c r="H12" s="52"/>
      <c r="I12" s="52"/>
      <c r="J12" s="52"/>
      <c r="K12" s="53"/>
      <c r="L12" s="51" t="s">
        <v>185</v>
      </c>
      <c r="M12" s="52"/>
      <c r="N12" s="52"/>
      <c r="O12" s="52"/>
      <c r="P12" s="53"/>
      <c r="Q12" s="51" t="s">
        <v>186</v>
      </c>
      <c r="R12" s="52"/>
      <c r="S12" s="52"/>
      <c r="T12" s="52"/>
      <c r="U12" s="53"/>
      <c r="V12" s="27"/>
    </row>
    <row r="13" spans="1:22" x14ac:dyDescent="0.3">
      <c r="A13" s="8" t="s">
        <v>187</v>
      </c>
      <c r="B13" s="8" t="s">
        <v>133</v>
      </c>
      <c r="C13" s="8" t="s">
        <v>188</v>
      </c>
      <c r="D13" s="8" t="s">
        <v>189</v>
      </c>
      <c r="E13" s="8" t="s">
        <v>190</v>
      </c>
      <c r="F13" s="8" t="s">
        <v>191</v>
      </c>
      <c r="G13" s="8" t="s">
        <v>192</v>
      </c>
      <c r="H13" s="8" t="s">
        <v>193</v>
      </c>
      <c r="I13" s="8" t="s">
        <v>194</v>
      </c>
      <c r="J13" s="13" t="s">
        <v>195</v>
      </c>
      <c r="K13" s="13" t="s">
        <v>196</v>
      </c>
      <c r="L13" s="8" t="s">
        <v>192</v>
      </c>
      <c r="M13" s="8" t="s">
        <v>193</v>
      </c>
      <c r="N13" s="8" t="s">
        <v>194</v>
      </c>
      <c r="O13" s="13" t="s">
        <v>195</v>
      </c>
      <c r="P13" s="13" t="s">
        <v>196</v>
      </c>
      <c r="Q13" s="8" t="s">
        <v>192</v>
      </c>
      <c r="R13" s="8" t="s">
        <v>193</v>
      </c>
      <c r="S13" s="8" t="s">
        <v>194</v>
      </c>
      <c r="T13" s="13" t="s">
        <v>195</v>
      </c>
      <c r="U13" s="13" t="s">
        <v>196</v>
      </c>
      <c r="V13" s="8" t="s">
        <v>73</v>
      </c>
    </row>
    <row r="14" spans="1:22" x14ac:dyDescent="0.3">
      <c r="A14" s="14" t="s">
        <v>197</v>
      </c>
      <c r="B14" s="18" t="s">
        <v>198</v>
      </c>
      <c r="C14" s="28" t="s">
        <v>199</v>
      </c>
      <c r="D14" s="16">
        <v>265</v>
      </c>
      <c r="E14" s="16">
        <v>79</v>
      </c>
      <c r="F14" s="29">
        <f t="shared" ref="F14:F30" si="0">E14/D14</f>
        <v>0.2981132075471698</v>
      </c>
      <c r="G14" s="30">
        <v>0.92</v>
      </c>
      <c r="H14" s="30">
        <v>0.89800000000000002</v>
      </c>
      <c r="I14" s="30">
        <v>0.94199999999999995</v>
      </c>
      <c r="J14" s="31">
        <v>0.95399999999999996</v>
      </c>
      <c r="K14" s="31">
        <v>0.97499999999999998</v>
      </c>
      <c r="L14" s="24">
        <f t="shared" ref="L14:L30" si="1">MIN($D14*G14*$D$7,$E14*$D$5/$D$6)</f>
        <v>197.5</v>
      </c>
      <c r="M14" s="24">
        <f t="shared" ref="M14:M30" si="2">MIN($D14*H14*$D$7,$E14*$D$5/$D$6)</f>
        <v>197.5</v>
      </c>
      <c r="N14" s="24">
        <f t="shared" ref="N14:N30" si="3">MIN($D14*I14*$D$7,$E14*$D$5/$D$6)</f>
        <v>197.5</v>
      </c>
      <c r="O14" s="32">
        <f t="shared" ref="O14:O30" si="4">MIN($D14*J14*$D$7,$E14*$D$5/$D$6)</f>
        <v>197.5</v>
      </c>
      <c r="P14" s="32">
        <f t="shared" ref="P14:P30" si="5">MIN($D14*K14*$D$7,$E14*$D$5/$D$6)</f>
        <v>197.5</v>
      </c>
      <c r="Q14" s="24">
        <f t="shared" ref="Q14:Q30" si="6">L14+($D14*G14-L14)*$D$8</f>
        <v>218.33500000000001</v>
      </c>
      <c r="R14" s="24">
        <f t="shared" ref="R14:R30" si="7">M14+($D14*H14-M14)*$D$8</f>
        <v>215.7115</v>
      </c>
      <c r="S14" s="24">
        <f t="shared" ref="S14:S30" si="8">N14+($D14*I14-N14)*$D$8</f>
        <v>220.95849999999999</v>
      </c>
      <c r="T14" s="32">
        <f t="shared" ref="T14:T30" si="9">O14+($D14*J14-O14)*$D$8</f>
        <v>222.3895</v>
      </c>
      <c r="U14" s="32">
        <f t="shared" ref="U14:U30" si="10">P14+($D14*K14-P14)*$D$8</f>
        <v>224.89375000000001</v>
      </c>
      <c r="V14" s="18" t="s">
        <v>200</v>
      </c>
    </row>
    <row r="15" spans="1:22" x14ac:dyDescent="0.3">
      <c r="A15" s="14" t="s">
        <v>201</v>
      </c>
      <c r="B15" s="18" t="s">
        <v>202</v>
      </c>
      <c r="C15" s="28" t="s">
        <v>199</v>
      </c>
      <c r="D15" s="16">
        <v>631</v>
      </c>
      <c r="E15" s="16">
        <v>33</v>
      </c>
      <c r="F15" s="29">
        <f t="shared" si="0"/>
        <v>5.2297939778129951E-2</v>
      </c>
      <c r="G15" s="30">
        <v>0.93</v>
      </c>
      <c r="H15" s="30">
        <v>0.90800000000000003</v>
      </c>
      <c r="I15" s="30">
        <v>0.95199999999999996</v>
      </c>
      <c r="J15" s="31">
        <v>0.96399999999999997</v>
      </c>
      <c r="K15" s="31">
        <v>0.98499999999999999</v>
      </c>
      <c r="L15" s="24">
        <f t="shared" si="1"/>
        <v>82.5</v>
      </c>
      <c r="M15" s="24">
        <f t="shared" si="2"/>
        <v>82.5</v>
      </c>
      <c r="N15" s="24">
        <f t="shared" si="3"/>
        <v>82.5</v>
      </c>
      <c r="O15" s="32">
        <f t="shared" si="4"/>
        <v>82.5</v>
      </c>
      <c r="P15" s="32">
        <f t="shared" si="5"/>
        <v>82.5</v>
      </c>
      <c r="Q15" s="24">
        <f t="shared" si="6"/>
        <v>309.44850000000002</v>
      </c>
      <c r="R15" s="24">
        <f t="shared" si="7"/>
        <v>303.20159999999998</v>
      </c>
      <c r="S15" s="24">
        <f t="shared" si="8"/>
        <v>315.69540000000001</v>
      </c>
      <c r="T15" s="32">
        <f t="shared" si="9"/>
        <v>319.1028</v>
      </c>
      <c r="U15" s="32">
        <f t="shared" si="10"/>
        <v>325.06574999999998</v>
      </c>
      <c r="V15" s="18" t="s">
        <v>200</v>
      </c>
    </row>
    <row r="16" spans="1:22" x14ac:dyDescent="0.3">
      <c r="A16" s="14" t="s">
        <v>203</v>
      </c>
      <c r="B16" s="18" t="s">
        <v>204</v>
      </c>
      <c r="C16" s="28" t="s">
        <v>199</v>
      </c>
      <c r="D16" s="16">
        <v>313</v>
      </c>
      <c r="E16" s="16">
        <v>96</v>
      </c>
      <c r="F16" s="29">
        <f t="shared" si="0"/>
        <v>0.30670926517571884</v>
      </c>
      <c r="G16" s="30">
        <v>0.88</v>
      </c>
      <c r="H16" s="30">
        <v>0.85799999999999998</v>
      </c>
      <c r="I16" s="30">
        <v>0.90200000000000002</v>
      </c>
      <c r="J16" s="31">
        <v>0.91400000000000003</v>
      </c>
      <c r="K16" s="31">
        <v>0.93500000000000005</v>
      </c>
      <c r="L16" s="24">
        <f t="shared" si="1"/>
        <v>239.99999999999997</v>
      </c>
      <c r="M16" s="24">
        <f t="shared" si="2"/>
        <v>239.99999999999997</v>
      </c>
      <c r="N16" s="24">
        <f t="shared" si="3"/>
        <v>239.99999999999997</v>
      </c>
      <c r="O16" s="32">
        <f t="shared" si="4"/>
        <v>239.99999999999997</v>
      </c>
      <c r="P16" s="32">
        <f t="shared" si="5"/>
        <v>239.99999999999997</v>
      </c>
      <c r="Q16" s="24">
        <f t="shared" si="6"/>
        <v>255.94799999999998</v>
      </c>
      <c r="R16" s="24">
        <f t="shared" si="7"/>
        <v>252.84929999999997</v>
      </c>
      <c r="S16" s="24">
        <f t="shared" si="8"/>
        <v>259.04669999999999</v>
      </c>
      <c r="T16" s="32">
        <f t="shared" si="9"/>
        <v>260.73689999999999</v>
      </c>
      <c r="U16" s="32">
        <f t="shared" si="10"/>
        <v>263.69475</v>
      </c>
      <c r="V16" s="18" t="s">
        <v>200</v>
      </c>
    </row>
    <row r="17" spans="1:22" x14ac:dyDescent="0.3">
      <c r="A17" s="14" t="s">
        <v>205</v>
      </c>
      <c r="B17" s="18" t="s">
        <v>206</v>
      </c>
      <c r="C17" s="28" t="s">
        <v>199</v>
      </c>
      <c r="D17" s="16">
        <v>564</v>
      </c>
      <c r="E17" s="16">
        <v>54</v>
      </c>
      <c r="F17" s="29">
        <f t="shared" si="0"/>
        <v>9.5744680851063829E-2</v>
      </c>
      <c r="G17" s="30">
        <v>0.9</v>
      </c>
      <c r="H17" s="30">
        <v>0.878</v>
      </c>
      <c r="I17" s="30">
        <v>0.92200000000000004</v>
      </c>
      <c r="J17" s="31">
        <v>0.93400000000000005</v>
      </c>
      <c r="K17" s="31">
        <v>0.95499999999999996</v>
      </c>
      <c r="L17" s="24">
        <f t="shared" si="1"/>
        <v>135</v>
      </c>
      <c r="M17" s="24">
        <f t="shared" si="2"/>
        <v>135</v>
      </c>
      <c r="N17" s="24">
        <f t="shared" si="3"/>
        <v>135</v>
      </c>
      <c r="O17" s="32">
        <f t="shared" si="4"/>
        <v>135</v>
      </c>
      <c r="P17" s="32">
        <f t="shared" si="5"/>
        <v>135</v>
      </c>
      <c r="Q17" s="24">
        <f t="shared" si="6"/>
        <v>302.67</v>
      </c>
      <c r="R17" s="24">
        <f t="shared" si="7"/>
        <v>297.08640000000003</v>
      </c>
      <c r="S17" s="24">
        <f t="shared" si="8"/>
        <v>308.25360000000001</v>
      </c>
      <c r="T17" s="32">
        <f t="shared" si="9"/>
        <v>311.29920000000004</v>
      </c>
      <c r="U17" s="32">
        <f t="shared" si="10"/>
        <v>316.62900000000002</v>
      </c>
      <c r="V17" s="18" t="s">
        <v>200</v>
      </c>
    </row>
    <row r="18" spans="1:22" x14ac:dyDescent="0.3">
      <c r="A18" s="14" t="s">
        <v>207</v>
      </c>
      <c r="B18" s="18" t="s">
        <v>208</v>
      </c>
      <c r="C18" s="28" t="s">
        <v>199</v>
      </c>
      <c r="D18" s="16">
        <v>225</v>
      </c>
      <c r="E18" s="16">
        <v>54</v>
      </c>
      <c r="F18" s="29">
        <f t="shared" si="0"/>
        <v>0.24</v>
      </c>
      <c r="G18" s="30">
        <v>0.9</v>
      </c>
      <c r="H18" s="30">
        <v>0.878</v>
      </c>
      <c r="I18" s="30">
        <v>0.92200000000000004</v>
      </c>
      <c r="J18" s="31">
        <v>0.93400000000000005</v>
      </c>
      <c r="K18" s="31">
        <v>0.95499999999999996</v>
      </c>
      <c r="L18" s="24">
        <f t="shared" si="1"/>
        <v>135</v>
      </c>
      <c r="M18" s="24">
        <f t="shared" si="2"/>
        <v>135</v>
      </c>
      <c r="N18" s="24">
        <f t="shared" si="3"/>
        <v>135</v>
      </c>
      <c r="O18" s="32">
        <f t="shared" si="4"/>
        <v>135</v>
      </c>
      <c r="P18" s="32">
        <f t="shared" si="5"/>
        <v>135</v>
      </c>
      <c r="Q18" s="24">
        <f t="shared" si="6"/>
        <v>165.375</v>
      </c>
      <c r="R18" s="24">
        <f t="shared" si="7"/>
        <v>163.14750000000001</v>
      </c>
      <c r="S18" s="24">
        <f t="shared" si="8"/>
        <v>167.60250000000002</v>
      </c>
      <c r="T18" s="32">
        <f t="shared" si="9"/>
        <v>168.8175</v>
      </c>
      <c r="U18" s="32">
        <f t="shared" si="10"/>
        <v>170.94374999999999</v>
      </c>
      <c r="V18" s="18" t="s">
        <v>200</v>
      </c>
    </row>
    <row r="19" spans="1:22" x14ac:dyDescent="0.3">
      <c r="A19" s="14" t="s">
        <v>209</v>
      </c>
      <c r="B19" s="18" t="s">
        <v>210</v>
      </c>
      <c r="C19" s="28" t="s">
        <v>199</v>
      </c>
      <c r="D19" s="16">
        <v>641</v>
      </c>
      <c r="E19" s="16">
        <v>178</v>
      </c>
      <c r="F19" s="29">
        <f t="shared" si="0"/>
        <v>0.27769110764430577</v>
      </c>
      <c r="G19" s="30">
        <v>0.92</v>
      </c>
      <c r="H19" s="30">
        <v>0.89800000000000002</v>
      </c>
      <c r="I19" s="30">
        <v>0.94199999999999995</v>
      </c>
      <c r="J19" s="31">
        <v>0.95399999999999996</v>
      </c>
      <c r="K19" s="31">
        <v>0.97499999999999998</v>
      </c>
      <c r="L19" s="24">
        <f t="shared" si="1"/>
        <v>445</v>
      </c>
      <c r="M19" s="24">
        <f t="shared" si="2"/>
        <v>445</v>
      </c>
      <c r="N19" s="24">
        <f t="shared" si="3"/>
        <v>445</v>
      </c>
      <c r="O19" s="32">
        <f t="shared" si="4"/>
        <v>445</v>
      </c>
      <c r="P19" s="32">
        <f t="shared" si="5"/>
        <v>445</v>
      </c>
      <c r="Q19" s="24">
        <f t="shared" si="6"/>
        <v>510.12400000000002</v>
      </c>
      <c r="R19" s="24">
        <f t="shared" si="7"/>
        <v>503.77809999999999</v>
      </c>
      <c r="S19" s="24">
        <f t="shared" si="8"/>
        <v>516.46990000000005</v>
      </c>
      <c r="T19" s="32">
        <f t="shared" si="9"/>
        <v>519.93129999999996</v>
      </c>
      <c r="U19" s="32">
        <f t="shared" si="10"/>
        <v>525.98874999999998</v>
      </c>
      <c r="V19" s="18" t="s">
        <v>200</v>
      </c>
    </row>
    <row r="20" spans="1:22" x14ac:dyDescent="0.3">
      <c r="A20" s="14" t="s">
        <v>209</v>
      </c>
      <c r="B20" s="18" t="s">
        <v>208</v>
      </c>
      <c r="C20" s="28" t="s">
        <v>199</v>
      </c>
      <c r="D20" s="16">
        <v>380</v>
      </c>
      <c r="E20" s="16">
        <v>158</v>
      </c>
      <c r="F20" s="29">
        <f t="shared" si="0"/>
        <v>0.41578947368421054</v>
      </c>
      <c r="G20" s="30">
        <v>0.92</v>
      </c>
      <c r="H20" s="30">
        <v>0.89800000000000002</v>
      </c>
      <c r="I20" s="30">
        <v>0.94199999999999995</v>
      </c>
      <c r="J20" s="31">
        <v>0.95399999999999996</v>
      </c>
      <c r="K20" s="31">
        <v>0.97499999999999998</v>
      </c>
      <c r="L20" s="24">
        <f t="shared" si="1"/>
        <v>332.12</v>
      </c>
      <c r="M20" s="24">
        <f t="shared" si="2"/>
        <v>324.178</v>
      </c>
      <c r="N20" s="24">
        <f t="shared" si="3"/>
        <v>340.06199999999995</v>
      </c>
      <c r="O20" s="32">
        <f t="shared" si="4"/>
        <v>344.39399999999995</v>
      </c>
      <c r="P20" s="32">
        <f t="shared" si="5"/>
        <v>351.97499999999997</v>
      </c>
      <c r="Q20" s="24">
        <f t="shared" si="6"/>
        <v>339.98599999999999</v>
      </c>
      <c r="R20" s="24">
        <f t="shared" si="7"/>
        <v>331.85590000000002</v>
      </c>
      <c r="S20" s="24">
        <f t="shared" si="8"/>
        <v>348.11609999999996</v>
      </c>
      <c r="T20" s="32">
        <f t="shared" si="9"/>
        <v>352.55069999999995</v>
      </c>
      <c r="U20" s="32">
        <f t="shared" si="10"/>
        <v>360.31124999999997</v>
      </c>
      <c r="V20" s="18" t="s">
        <v>200</v>
      </c>
    </row>
    <row r="21" spans="1:22" x14ac:dyDescent="0.3">
      <c r="A21" s="14" t="s">
        <v>211</v>
      </c>
      <c r="B21" s="18" t="s">
        <v>212</v>
      </c>
      <c r="C21" s="28" t="s">
        <v>213</v>
      </c>
      <c r="D21" s="16">
        <v>460</v>
      </c>
      <c r="E21" s="16">
        <v>110</v>
      </c>
      <c r="F21" s="29">
        <f t="shared" si="0"/>
        <v>0.2391304347826087</v>
      </c>
      <c r="G21" s="30">
        <v>0.93</v>
      </c>
      <c r="H21" s="30">
        <v>0.90800000000000003</v>
      </c>
      <c r="I21" s="30">
        <v>0.95199999999999996</v>
      </c>
      <c r="J21" s="31">
        <v>0.96399999999999997</v>
      </c>
      <c r="K21" s="31">
        <v>0.98499999999999999</v>
      </c>
      <c r="L21" s="24">
        <f t="shared" si="1"/>
        <v>275</v>
      </c>
      <c r="M21" s="24">
        <f t="shared" si="2"/>
        <v>275</v>
      </c>
      <c r="N21" s="24">
        <f t="shared" si="3"/>
        <v>275</v>
      </c>
      <c r="O21" s="32">
        <f t="shared" si="4"/>
        <v>275</v>
      </c>
      <c r="P21" s="32">
        <f t="shared" si="5"/>
        <v>275</v>
      </c>
      <c r="Q21" s="24">
        <f t="shared" si="6"/>
        <v>343.76</v>
      </c>
      <c r="R21" s="24">
        <f t="shared" si="7"/>
        <v>339.20600000000002</v>
      </c>
      <c r="S21" s="24">
        <f t="shared" si="8"/>
        <v>348.31399999999996</v>
      </c>
      <c r="T21" s="32">
        <f t="shared" si="9"/>
        <v>350.798</v>
      </c>
      <c r="U21" s="32">
        <f t="shared" si="10"/>
        <v>355.14499999999998</v>
      </c>
      <c r="V21" s="18" t="s">
        <v>200</v>
      </c>
    </row>
    <row r="22" spans="1:22" x14ac:dyDescent="0.3">
      <c r="A22" s="14" t="s">
        <v>214</v>
      </c>
      <c r="B22" s="18" t="s">
        <v>198</v>
      </c>
      <c r="C22" s="28" t="s">
        <v>213</v>
      </c>
      <c r="D22" s="16">
        <v>264</v>
      </c>
      <c r="E22" s="16">
        <v>67</v>
      </c>
      <c r="F22" s="29">
        <f t="shared" si="0"/>
        <v>0.25378787878787878</v>
      </c>
      <c r="G22" s="30">
        <v>0.9</v>
      </c>
      <c r="H22" s="30">
        <v>0.878</v>
      </c>
      <c r="I22" s="30">
        <v>0.92200000000000004</v>
      </c>
      <c r="J22" s="31">
        <v>0.93400000000000005</v>
      </c>
      <c r="K22" s="31">
        <v>0.95499999999999996</v>
      </c>
      <c r="L22" s="24">
        <f t="shared" si="1"/>
        <v>167.5</v>
      </c>
      <c r="M22" s="24">
        <f t="shared" si="2"/>
        <v>167.5</v>
      </c>
      <c r="N22" s="24">
        <f t="shared" si="3"/>
        <v>167.5</v>
      </c>
      <c r="O22" s="32">
        <f t="shared" si="4"/>
        <v>167.5</v>
      </c>
      <c r="P22" s="32">
        <f t="shared" si="5"/>
        <v>167.5</v>
      </c>
      <c r="Q22" s="24">
        <f t="shared" si="6"/>
        <v>199.04499999999999</v>
      </c>
      <c r="R22" s="24">
        <f t="shared" si="7"/>
        <v>196.4314</v>
      </c>
      <c r="S22" s="24">
        <f t="shared" si="8"/>
        <v>201.65860000000001</v>
      </c>
      <c r="T22" s="32">
        <f t="shared" si="9"/>
        <v>203.08420000000001</v>
      </c>
      <c r="U22" s="32">
        <f t="shared" si="10"/>
        <v>205.57900000000001</v>
      </c>
      <c r="V22" s="18" t="s">
        <v>200</v>
      </c>
    </row>
    <row r="23" spans="1:22" x14ac:dyDescent="0.3">
      <c r="A23" s="14" t="s">
        <v>215</v>
      </c>
      <c r="B23" s="18" t="s">
        <v>206</v>
      </c>
      <c r="C23" s="28" t="s">
        <v>199</v>
      </c>
      <c r="D23" s="16">
        <v>612</v>
      </c>
      <c r="E23" s="16">
        <v>47</v>
      </c>
      <c r="F23" s="29">
        <f t="shared" si="0"/>
        <v>7.6797385620915037E-2</v>
      </c>
      <c r="G23" s="30">
        <v>0.92</v>
      </c>
      <c r="H23" s="30">
        <v>0.89800000000000002</v>
      </c>
      <c r="I23" s="30">
        <v>0.94199999999999995</v>
      </c>
      <c r="J23" s="31">
        <v>0.95399999999999996</v>
      </c>
      <c r="K23" s="31">
        <v>0.97499999999999998</v>
      </c>
      <c r="L23" s="24">
        <f t="shared" si="1"/>
        <v>117.5</v>
      </c>
      <c r="M23" s="24">
        <f t="shared" si="2"/>
        <v>117.5</v>
      </c>
      <c r="N23" s="24">
        <f t="shared" si="3"/>
        <v>117.5</v>
      </c>
      <c r="O23" s="32">
        <f t="shared" si="4"/>
        <v>117.5</v>
      </c>
      <c r="P23" s="32">
        <f t="shared" si="5"/>
        <v>117.5</v>
      </c>
      <c r="Q23" s="24">
        <f t="shared" si="6"/>
        <v>317.99300000000005</v>
      </c>
      <c r="R23" s="24">
        <f t="shared" si="7"/>
        <v>311.93420000000003</v>
      </c>
      <c r="S23" s="24">
        <f t="shared" si="8"/>
        <v>324.05180000000001</v>
      </c>
      <c r="T23" s="32">
        <f t="shared" si="9"/>
        <v>327.35659999999996</v>
      </c>
      <c r="U23" s="32">
        <f t="shared" si="10"/>
        <v>333.14</v>
      </c>
      <c r="V23" s="18" t="s">
        <v>200</v>
      </c>
    </row>
    <row r="24" spans="1:22" x14ac:dyDescent="0.3">
      <c r="A24" s="14" t="s">
        <v>209</v>
      </c>
      <c r="B24" s="18" t="s">
        <v>216</v>
      </c>
      <c r="C24" s="28" t="s">
        <v>199</v>
      </c>
      <c r="D24" s="16">
        <v>238</v>
      </c>
      <c r="E24" s="16">
        <v>60</v>
      </c>
      <c r="F24" s="29">
        <f t="shared" si="0"/>
        <v>0.25210084033613445</v>
      </c>
      <c r="G24" s="30">
        <v>0.9</v>
      </c>
      <c r="H24" s="30">
        <v>0.878</v>
      </c>
      <c r="I24" s="30">
        <v>0.92200000000000004</v>
      </c>
      <c r="J24" s="31">
        <v>0.93400000000000005</v>
      </c>
      <c r="K24" s="31">
        <v>0.95499999999999996</v>
      </c>
      <c r="L24" s="24">
        <f t="shared" si="1"/>
        <v>150</v>
      </c>
      <c r="M24" s="24">
        <f t="shared" si="2"/>
        <v>150</v>
      </c>
      <c r="N24" s="24">
        <f t="shared" si="3"/>
        <v>150</v>
      </c>
      <c r="O24" s="32">
        <f t="shared" si="4"/>
        <v>150</v>
      </c>
      <c r="P24" s="32">
        <f t="shared" si="5"/>
        <v>150</v>
      </c>
      <c r="Q24" s="24">
        <f t="shared" si="6"/>
        <v>178.89000000000001</v>
      </c>
      <c r="R24" s="24">
        <f t="shared" si="7"/>
        <v>176.53379999999999</v>
      </c>
      <c r="S24" s="24">
        <f t="shared" si="8"/>
        <v>181.24620000000002</v>
      </c>
      <c r="T24" s="32">
        <f t="shared" si="9"/>
        <v>182.53140000000002</v>
      </c>
      <c r="U24" s="32">
        <f t="shared" si="10"/>
        <v>184.78049999999999</v>
      </c>
      <c r="V24" s="18" t="s">
        <v>200</v>
      </c>
    </row>
    <row r="25" spans="1:22" x14ac:dyDescent="0.3">
      <c r="A25" s="14" t="s">
        <v>217</v>
      </c>
      <c r="B25" s="18" t="s">
        <v>208</v>
      </c>
      <c r="C25" s="28" t="s">
        <v>199</v>
      </c>
      <c r="D25" s="16">
        <v>290</v>
      </c>
      <c r="E25" s="16">
        <v>45</v>
      </c>
      <c r="F25" s="29">
        <f t="shared" si="0"/>
        <v>0.15517241379310345</v>
      </c>
      <c r="G25" s="30">
        <v>0.9</v>
      </c>
      <c r="H25" s="30">
        <v>0.878</v>
      </c>
      <c r="I25" s="30">
        <v>0.92200000000000004</v>
      </c>
      <c r="J25" s="31">
        <v>0.93400000000000005</v>
      </c>
      <c r="K25" s="31">
        <v>0.95499999999999996</v>
      </c>
      <c r="L25" s="24">
        <f t="shared" si="1"/>
        <v>112.5</v>
      </c>
      <c r="M25" s="24">
        <f t="shared" si="2"/>
        <v>112.5</v>
      </c>
      <c r="N25" s="24">
        <f t="shared" si="3"/>
        <v>112.5</v>
      </c>
      <c r="O25" s="32">
        <f t="shared" si="4"/>
        <v>112.5</v>
      </c>
      <c r="P25" s="32">
        <f t="shared" si="5"/>
        <v>112.5</v>
      </c>
      <c r="Q25" s="24">
        <f t="shared" si="6"/>
        <v>179.32499999999999</v>
      </c>
      <c r="R25" s="24">
        <f t="shared" si="7"/>
        <v>176.45400000000001</v>
      </c>
      <c r="S25" s="24">
        <f t="shared" si="8"/>
        <v>182.196</v>
      </c>
      <c r="T25" s="32">
        <f t="shared" si="9"/>
        <v>183.762</v>
      </c>
      <c r="U25" s="32">
        <f t="shared" si="10"/>
        <v>186.5025</v>
      </c>
      <c r="V25" s="18" t="s">
        <v>200</v>
      </c>
    </row>
    <row r="26" spans="1:22" x14ac:dyDescent="0.3">
      <c r="A26" s="14" t="s">
        <v>218</v>
      </c>
      <c r="B26" s="18" t="s">
        <v>219</v>
      </c>
      <c r="C26" s="28" t="s">
        <v>220</v>
      </c>
      <c r="D26" s="16">
        <v>356</v>
      </c>
      <c r="E26" s="16">
        <v>104</v>
      </c>
      <c r="F26" s="29">
        <f t="shared" si="0"/>
        <v>0.29213483146067415</v>
      </c>
      <c r="G26" s="30">
        <v>0.94</v>
      </c>
      <c r="H26" s="30">
        <v>0.91800000000000004</v>
      </c>
      <c r="I26" s="30">
        <v>0.96199999999999997</v>
      </c>
      <c r="J26" s="31">
        <v>0.97399999999999998</v>
      </c>
      <c r="K26" s="31">
        <v>0.99</v>
      </c>
      <c r="L26" s="24">
        <f t="shared" si="1"/>
        <v>260</v>
      </c>
      <c r="M26" s="24">
        <f t="shared" si="2"/>
        <v>260</v>
      </c>
      <c r="N26" s="24">
        <f t="shared" si="3"/>
        <v>260</v>
      </c>
      <c r="O26" s="32">
        <f t="shared" si="4"/>
        <v>260</v>
      </c>
      <c r="P26" s="32">
        <f t="shared" si="5"/>
        <v>260</v>
      </c>
      <c r="Q26" s="24">
        <f t="shared" si="6"/>
        <v>293.58799999999997</v>
      </c>
      <c r="R26" s="24">
        <f t="shared" si="7"/>
        <v>290.06360000000001</v>
      </c>
      <c r="S26" s="24">
        <f t="shared" si="8"/>
        <v>297.11239999999998</v>
      </c>
      <c r="T26" s="32">
        <f t="shared" si="9"/>
        <v>299.03480000000002</v>
      </c>
      <c r="U26" s="32">
        <f t="shared" si="10"/>
        <v>301.59800000000001</v>
      </c>
      <c r="V26" s="18" t="s">
        <v>200</v>
      </c>
    </row>
    <row r="27" spans="1:22" x14ac:dyDescent="0.3">
      <c r="A27" s="14" t="s">
        <v>221</v>
      </c>
      <c r="B27" s="18" t="s">
        <v>146</v>
      </c>
      <c r="C27" s="28" t="s">
        <v>213</v>
      </c>
      <c r="D27" s="16">
        <v>232</v>
      </c>
      <c r="E27" s="16">
        <v>29</v>
      </c>
      <c r="F27" s="29">
        <f t="shared" si="0"/>
        <v>0.125</v>
      </c>
      <c r="G27" s="30">
        <v>0.92</v>
      </c>
      <c r="H27" s="30">
        <v>0.89800000000000002</v>
      </c>
      <c r="I27" s="30">
        <v>0.94199999999999995</v>
      </c>
      <c r="J27" s="31">
        <v>0.95399999999999996</v>
      </c>
      <c r="K27" s="31">
        <v>0.97499999999999998</v>
      </c>
      <c r="L27" s="24">
        <f t="shared" si="1"/>
        <v>72.499999999999986</v>
      </c>
      <c r="M27" s="24">
        <f t="shared" si="2"/>
        <v>72.499999999999986</v>
      </c>
      <c r="N27" s="24">
        <f t="shared" si="3"/>
        <v>72.499999999999986</v>
      </c>
      <c r="O27" s="32">
        <f t="shared" si="4"/>
        <v>72.499999999999986</v>
      </c>
      <c r="P27" s="32">
        <f t="shared" si="5"/>
        <v>72.499999999999986</v>
      </c>
      <c r="Q27" s="24">
        <f t="shared" si="6"/>
        <v>135.923</v>
      </c>
      <c r="R27" s="24">
        <f t="shared" si="7"/>
        <v>133.62619999999998</v>
      </c>
      <c r="S27" s="24">
        <f t="shared" si="8"/>
        <v>138.21979999999996</v>
      </c>
      <c r="T27" s="32">
        <f t="shared" si="9"/>
        <v>139.4726</v>
      </c>
      <c r="U27" s="32">
        <f t="shared" si="10"/>
        <v>141.66499999999996</v>
      </c>
      <c r="V27" s="18" t="s">
        <v>200</v>
      </c>
    </row>
    <row r="28" spans="1:22" x14ac:dyDescent="0.3">
      <c r="A28" s="57" t="s">
        <v>222</v>
      </c>
      <c r="B28" s="58" t="s">
        <v>212</v>
      </c>
      <c r="C28" s="28" t="s">
        <v>199</v>
      </c>
      <c r="D28" s="16">
        <v>356</v>
      </c>
      <c r="E28" s="16">
        <v>0</v>
      </c>
      <c r="F28" s="29">
        <f t="shared" si="0"/>
        <v>0</v>
      </c>
      <c r="G28" s="30">
        <v>0.92</v>
      </c>
      <c r="H28" s="30">
        <v>0.89800000000000002</v>
      </c>
      <c r="I28" s="30">
        <v>0.94199999999999995</v>
      </c>
      <c r="J28" s="31">
        <v>0.95399999999999996</v>
      </c>
      <c r="K28" s="31">
        <v>0.97499999999999998</v>
      </c>
      <c r="L28" s="24">
        <f t="shared" si="1"/>
        <v>0</v>
      </c>
      <c r="M28" s="24">
        <f t="shared" si="2"/>
        <v>0</v>
      </c>
      <c r="N28" s="24">
        <f t="shared" si="3"/>
        <v>0</v>
      </c>
      <c r="O28" s="32">
        <f t="shared" si="4"/>
        <v>0</v>
      </c>
      <c r="P28" s="32">
        <f t="shared" si="5"/>
        <v>0</v>
      </c>
      <c r="Q28" s="24">
        <f t="shared" si="6"/>
        <v>147.38400000000001</v>
      </c>
      <c r="R28" s="24">
        <f t="shared" si="7"/>
        <v>143.8596</v>
      </c>
      <c r="S28" s="24">
        <f t="shared" si="8"/>
        <v>150.9084</v>
      </c>
      <c r="T28" s="32">
        <f t="shared" si="9"/>
        <v>152.83079999999998</v>
      </c>
      <c r="U28" s="32">
        <f t="shared" si="10"/>
        <v>156.19499999999999</v>
      </c>
      <c r="V28" s="18" t="s">
        <v>200</v>
      </c>
    </row>
    <row r="29" spans="1:22" x14ac:dyDescent="0.3">
      <c r="A29" s="14" t="s">
        <v>224</v>
      </c>
      <c r="B29" s="18" t="s">
        <v>225</v>
      </c>
      <c r="C29" s="28" t="s">
        <v>213</v>
      </c>
      <c r="D29" s="16">
        <v>190</v>
      </c>
      <c r="E29" s="16">
        <v>42</v>
      </c>
      <c r="F29" s="29">
        <f t="shared" si="0"/>
        <v>0.22105263157894736</v>
      </c>
      <c r="G29" s="30">
        <v>0.9</v>
      </c>
      <c r="H29" s="30">
        <v>0.878</v>
      </c>
      <c r="I29" s="30">
        <v>0.92200000000000004</v>
      </c>
      <c r="J29" s="31">
        <v>0.93400000000000005</v>
      </c>
      <c r="K29" s="31">
        <v>0.95499999999999996</v>
      </c>
      <c r="L29" s="24">
        <f t="shared" si="1"/>
        <v>105</v>
      </c>
      <c r="M29" s="24">
        <f t="shared" si="2"/>
        <v>105</v>
      </c>
      <c r="N29" s="24">
        <f t="shared" si="3"/>
        <v>105</v>
      </c>
      <c r="O29" s="32">
        <f t="shared" si="4"/>
        <v>105</v>
      </c>
      <c r="P29" s="32">
        <f t="shared" si="5"/>
        <v>105</v>
      </c>
      <c r="Q29" s="24">
        <f t="shared" si="6"/>
        <v>134.69999999999999</v>
      </c>
      <c r="R29" s="24">
        <f t="shared" si="7"/>
        <v>132.81899999999999</v>
      </c>
      <c r="S29" s="24">
        <f t="shared" si="8"/>
        <v>136.58100000000002</v>
      </c>
      <c r="T29" s="32">
        <f t="shared" si="9"/>
        <v>137.607</v>
      </c>
      <c r="U29" s="32">
        <f t="shared" si="10"/>
        <v>139.4025</v>
      </c>
      <c r="V29" s="18" t="s">
        <v>200</v>
      </c>
    </row>
    <row r="30" spans="1:22" x14ac:dyDescent="0.3">
      <c r="A30" s="14" t="s">
        <v>226</v>
      </c>
      <c r="B30" s="18" t="s">
        <v>208</v>
      </c>
      <c r="C30" s="28" t="s">
        <v>213</v>
      </c>
      <c r="D30" s="16">
        <v>125</v>
      </c>
      <c r="E30" s="16">
        <v>0</v>
      </c>
      <c r="F30" s="29">
        <f t="shared" si="0"/>
        <v>0</v>
      </c>
      <c r="G30" s="30">
        <v>0.9</v>
      </c>
      <c r="H30" s="30">
        <v>0.878</v>
      </c>
      <c r="I30" s="30">
        <v>0.92200000000000004</v>
      </c>
      <c r="J30" s="31">
        <v>0.93400000000000005</v>
      </c>
      <c r="K30" s="31">
        <v>0.95499999999999996</v>
      </c>
      <c r="L30" s="24">
        <f t="shared" si="1"/>
        <v>0</v>
      </c>
      <c r="M30" s="24">
        <f t="shared" si="2"/>
        <v>0</v>
      </c>
      <c r="N30" s="24">
        <f t="shared" si="3"/>
        <v>0</v>
      </c>
      <c r="O30" s="32">
        <f t="shared" si="4"/>
        <v>0</v>
      </c>
      <c r="P30" s="32">
        <f t="shared" si="5"/>
        <v>0</v>
      </c>
      <c r="Q30" s="24">
        <f t="shared" si="6"/>
        <v>50.625</v>
      </c>
      <c r="R30" s="24">
        <f t="shared" si="7"/>
        <v>49.387500000000003</v>
      </c>
      <c r="S30" s="24">
        <f t="shared" si="8"/>
        <v>51.862500000000004</v>
      </c>
      <c r="T30" s="32">
        <f t="shared" si="9"/>
        <v>52.537500000000001</v>
      </c>
      <c r="U30" s="32">
        <f t="shared" si="10"/>
        <v>53.71875</v>
      </c>
      <c r="V30" s="18" t="s">
        <v>200</v>
      </c>
    </row>
    <row r="31" spans="1:22" x14ac:dyDescent="0.3">
      <c r="A31" s="21" t="s">
        <v>227</v>
      </c>
      <c r="B31" s="21"/>
      <c r="C31" s="21"/>
      <c r="D31" s="22">
        <f>SUM(D14:D30)</f>
        <v>6142</v>
      </c>
      <c r="E31" s="22">
        <f>SUM(E14:E30)</f>
        <v>1156</v>
      </c>
      <c r="F31" s="21"/>
      <c r="G31" s="21"/>
      <c r="H31" s="21"/>
      <c r="I31" s="21"/>
      <c r="J31" s="21"/>
      <c r="K31" s="21"/>
      <c r="L31" s="22">
        <f t="shared" ref="L31:U31" si="11">SUM(L14:L30)</f>
        <v>2827.12</v>
      </c>
      <c r="M31" s="22">
        <f t="shared" si="11"/>
        <v>2819.1779999999999</v>
      </c>
      <c r="N31" s="22">
        <f t="shared" si="11"/>
        <v>2835.0619999999999</v>
      </c>
      <c r="O31" s="22">
        <f t="shared" si="11"/>
        <v>2839.3940000000002</v>
      </c>
      <c r="P31" s="22">
        <f t="shared" si="11"/>
        <v>2846.9749999999999</v>
      </c>
      <c r="Q31" s="22">
        <f t="shared" si="11"/>
        <v>4083.1194999999989</v>
      </c>
      <c r="R31" s="22">
        <f t="shared" si="11"/>
        <v>4017.9456000000005</v>
      </c>
      <c r="S31" s="22">
        <f t="shared" si="11"/>
        <v>4148.2934000000005</v>
      </c>
      <c r="T31" s="22">
        <f t="shared" si="11"/>
        <v>4183.8428000000013</v>
      </c>
      <c r="U31" s="22">
        <f t="shared" si="11"/>
        <v>4245.2532499999998</v>
      </c>
      <c r="V31" s="21"/>
    </row>
    <row r="33" spans="1:6" x14ac:dyDescent="0.3">
      <c r="A33" s="2" t="s">
        <v>228</v>
      </c>
    </row>
    <row r="34" spans="1:6" x14ac:dyDescent="0.3">
      <c r="A34" s="21" t="s">
        <v>229</v>
      </c>
      <c r="B34" s="33" t="s">
        <v>192</v>
      </c>
      <c r="C34" s="33" t="s">
        <v>193</v>
      </c>
      <c r="D34" s="33" t="s">
        <v>194</v>
      </c>
      <c r="E34" s="33" t="s">
        <v>195</v>
      </c>
      <c r="F34" s="33" t="s">
        <v>196</v>
      </c>
    </row>
    <row r="35" spans="1:6" x14ac:dyDescent="0.3">
      <c r="A35" s="14" t="s">
        <v>230</v>
      </c>
      <c r="B35" s="26">
        <v>0.3</v>
      </c>
      <c r="C35" s="1" t="s">
        <v>231</v>
      </c>
    </row>
    <row r="36" spans="1:6" x14ac:dyDescent="0.3">
      <c r="A36" s="18" t="s">
        <v>232</v>
      </c>
      <c r="B36" s="25">
        <f>SUMPRODUCT($D$14:$D$30,G14:G30)</f>
        <v>5618.2300000000005</v>
      </c>
      <c r="C36" s="25">
        <f>SUMPRODUCT($D$14:$D$30,H14:H30)</f>
        <v>5483.1059999999998</v>
      </c>
      <c r="D36" s="25">
        <f>SUMPRODUCT($D$14:$D$30,I14:I30)</f>
        <v>5753.3540000000003</v>
      </c>
      <c r="E36" s="25">
        <f>SUMPRODUCT($D$14:$D$30,J14:J30)</f>
        <v>5827.058</v>
      </c>
      <c r="F36" s="25">
        <f>SUMPRODUCT($D$14:$D$30,K14:K30)</f>
        <v>5954.2599999999993</v>
      </c>
    </row>
    <row r="37" spans="1:6" x14ac:dyDescent="0.3">
      <c r="A37" s="18" t="s">
        <v>233</v>
      </c>
      <c r="B37" s="25">
        <f>L31</f>
        <v>2827.12</v>
      </c>
      <c r="C37" s="25">
        <f>M31</f>
        <v>2819.1779999999999</v>
      </c>
      <c r="D37" s="25">
        <f>N31</f>
        <v>2835.0619999999999</v>
      </c>
      <c r="E37" s="25">
        <f>O31</f>
        <v>2839.3940000000002</v>
      </c>
      <c r="F37" s="25">
        <f>P31</f>
        <v>2846.9749999999999</v>
      </c>
    </row>
    <row r="38" spans="1:6" x14ac:dyDescent="0.3">
      <c r="A38" s="18" t="s">
        <v>234</v>
      </c>
      <c r="B38" s="25">
        <f>B37*$B$35</f>
        <v>848.13599999999997</v>
      </c>
      <c r="C38" s="25">
        <f>C37*$B$35</f>
        <v>845.75339999999994</v>
      </c>
      <c r="D38" s="25">
        <f>D37*$B$35</f>
        <v>850.51859999999999</v>
      </c>
      <c r="E38" s="25">
        <f>E37*$B$35</f>
        <v>851.81820000000005</v>
      </c>
      <c r="F38" s="25">
        <f>F37*$B$35</f>
        <v>854.09249999999997</v>
      </c>
    </row>
    <row r="39" spans="1:6" x14ac:dyDescent="0.3">
      <c r="A39" s="18" t="s">
        <v>235</v>
      </c>
      <c r="B39" s="25">
        <f>B37+(B36-B37)*$D$8</f>
        <v>4083.1195000000002</v>
      </c>
      <c r="C39" s="25">
        <f>C37+(C36-C37)*$D$8</f>
        <v>4017.9456</v>
      </c>
      <c r="D39" s="25">
        <f>D37+(D36-D37)*$D$8</f>
        <v>4148.2934000000005</v>
      </c>
      <c r="E39" s="25">
        <f>E37+(E36-E37)*$D$8</f>
        <v>4183.8428000000004</v>
      </c>
      <c r="F39" s="25">
        <f>F37+(F36-F37)*$D$8</f>
        <v>4245.2532499999998</v>
      </c>
    </row>
    <row r="40" spans="1:6" x14ac:dyDescent="0.3">
      <c r="A40" s="18" t="s">
        <v>236</v>
      </c>
      <c r="B40" s="25">
        <f>B38+(B36-B38)*$D$8</f>
        <v>2994.6783000000005</v>
      </c>
      <c r="C40" s="25">
        <f>C38+(C36-C38)*$D$8</f>
        <v>2932.5620700000004</v>
      </c>
      <c r="D40" s="25">
        <f>D38+(D36-D38)*$D$8</f>
        <v>3056.7945300000001</v>
      </c>
      <c r="E40" s="25">
        <f>E38+(E36-E38)*$D$8</f>
        <v>3090.6761100000003</v>
      </c>
      <c r="F40" s="25">
        <f>F38+(F36-F38)*$D$8</f>
        <v>3149.1678750000001</v>
      </c>
    </row>
    <row r="41" spans="1:6" x14ac:dyDescent="0.3">
      <c r="A41" s="19" t="s">
        <v>237</v>
      </c>
      <c r="B41" s="20">
        <f>B42+(B36-B42)*$D$8</f>
        <v>3538.8989000000001</v>
      </c>
      <c r="C41" s="20">
        <f>C42+(C36-C42)*$D$8</f>
        <v>3475.253835</v>
      </c>
      <c r="D41" s="20">
        <f>D42+(D36-D42)*$D$8</f>
        <v>3602.5439650000003</v>
      </c>
      <c r="E41" s="20">
        <f>E42+(E36-E42)*$D$8</f>
        <v>3637.2594550000003</v>
      </c>
      <c r="F41" s="20">
        <f>F42+(F36-F42)*$D$8</f>
        <v>3697.2105624999999</v>
      </c>
    </row>
    <row r="42" spans="1:6" x14ac:dyDescent="0.3">
      <c r="A42" s="19" t="s">
        <v>238</v>
      </c>
      <c r="B42" s="20">
        <f>(B37+B38)/2</f>
        <v>1837.6279999999999</v>
      </c>
      <c r="C42" s="20">
        <f>(C37+C38)/2</f>
        <v>1832.4657</v>
      </c>
      <c r="D42" s="20">
        <f>(D37+D38)/2</f>
        <v>1842.7902999999999</v>
      </c>
      <c r="E42" s="20">
        <f>(E37+E38)/2</f>
        <v>1845.6061000000002</v>
      </c>
      <c r="F42" s="20">
        <f>(F37+F38)/2</f>
        <v>1850.5337500000001</v>
      </c>
    </row>
  </sheetData>
  <mergeCells count="10">
    <mergeCell ref="A1:V1"/>
    <mergeCell ref="A8:C8"/>
    <mergeCell ref="A6:C6"/>
    <mergeCell ref="A9:V9"/>
    <mergeCell ref="A7:C7"/>
    <mergeCell ref="A2:V2"/>
    <mergeCell ref="L12:P12"/>
    <mergeCell ref="Q12:U12"/>
    <mergeCell ref="A5:C5"/>
    <mergeCell ref="G12:K12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E5A88"/>
  </sheetPr>
  <dimension ref="A1:J30"/>
  <sheetViews>
    <sheetView showGridLines="0" tabSelected="1" workbookViewId="0">
      <pane xSplit="3" ySplit="2" topLeftCell="D17" activePane="bottomRight" state="frozen"/>
      <selection pane="topRight"/>
      <selection pane="bottomLeft"/>
      <selection pane="bottomRight" activeCell="H27" sqref="H27"/>
    </sheetView>
  </sheetViews>
  <sheetFormatPr defaultRowHeight="14.4" x14ac:dyDescent="0.3"/>
  <cols>
    <col min="1" max="1" width="30" customWidth="1"/>
    <col min="2" max="2" width="7" customWidth="1"/>
    <col min="3" max="3" width="8" customWidth="1"/>
    <col min="4" max="8" width="9" customWidth="1"/>
    <col min="9" max="9" width="7" customWidth="1"/>
    <col min="10" max="10" width="40" customWidth="1"/>
  </cols>
  <sheetData>
    <row r="1" spans="1:10" ht="24" customHeight="1" x14ac:dyDescent="0.3">
      <c r="A1" s="47" t="s">
        <v>239</v>
      </c>
      <c r="B1" s="48"/>
      <c r="C1" s="48"/>
      <c r="D1" s="48"/>
      <c r="E1" s="48"/>
      <c r="F1" s="48"/>
      <c r="G1" s="48"/>
      <c r="H1" s="48"/>
      <c r="I1" s="48"/>
      <c r="J1" s="48"/>
    </row>
    <row r="2" spans="1:10" x14ac:dyDescent="0.3">
      <c r="A2" s="50" t="s">
        <v>240</v>
      </c>
      <c r="B2" s="48"/>
      <c r="C2" s="48"/>
      <c r="D2" s="48"/>
      <c r="E2" s="48"/>
      <c r="F2" s="48"/>
      <c r="G2" s="48"/>
      <c r="H2" s="48"/>
      <c r="I2" s="48"/>
      <c r="J2" s="48"/>
    </row>
    <row r="4" spans="1:10" x14ac:dyDescent="0.3">
      <c r="A4" s="2" t="s">
        <v>241</v>
      </c>
    </row>
    <row r="5" spans="1:10" x14ac:dyDescent="0.3">
      <c r="A5" s="8" t="s">
        <v>242</v>
      </c>
      <c r="B5" s="8" t="s">
        <v>243</v>
      </c>
      <c r="C5" s="8" t="s">
        <v>244</v>
      </c>
      <c r="D5" s="8" t="s">
        <v>68</v>
      </c>
      <c r="E5" s="8" t="s">
        <v>69</v>
      </c>
      <c r="F5" s="8" t="s">
        <v>70</v>
      </c>
      <c r="G5" s="13" t="s">
        <v>71</v>
      </c>
      <c r="H5" s="13" t="s">
        <v>72</v>
      </c>
      <c r="I5" s="8" t="s">
        <v>66</v>
      </c>
      <c r="J5" s="8" t="s">
        <v>245</v>
      </c>
    </row>
    <row r="6" spans="1:10" x14ac:dyDescent="0.3">
      <c r="A6" s="14" t="s">
        <v>115</v>
      </c>
      <c r="B6" s="34">
        <v>30</v>
      </c>
      <c r="C6" s="35">
        <v>1.9</v>
      </c>
      <c r="D6" s="16">
        <v>560</v>
      </c>
      <c r="E6" s="16">
        <v>538</v>
      </c>
      <c r="F6" s="16">
        <v>537</v>
      </c>
      <c r="G6" s="16">
        <v>537</v>
      </c>
      <c r="H6" s="16">
        <v>537</v>
      </c>
      <c r="I6" s="36" t="s">
        <v>246</v>
      </c>
      <c r="J6" s="18" t="s">
        <v>247</v>
      </c>
    </row>
    <row r="7" spans="1:10" x14ac:dyDescent="0.3">
      <c r="A7" s="14" t="s">
        <v>248</v>
      </c>
      <c r="B7" s="34">
        <v>30</v>
      </c>
      <c r="C7" s="35">
        <v>1.8</v>
      </c>
      <c r="D7" s="16">
        <v>300</v>
      </c>
      <c r="E7" s="16">
        <v>288</v>
      </c>
      <c r="F7" s="16">
        <v>288</v>
      </c>
      <c r="G7" s="16">
        <v>288</v>
      </c>
      <c r="H7" s="16">
        <v>288</v>
      </c>
      <c r="I7" s="36" t="s">
        <v>246</v>
      </c>
      <c r="J7" s="18" t="s">
        <v>249</v>
      </c>
    </row>
    <row r="8" spans="1:10" x14ac:dyDescent="0.3">
      <c r="A8" s="14" t="s">
        <v>250</v>
      </c>
      <c r="B8" s="34">
        <v>28</v>
      </c>
      <c r="C8" s="35">
        <v>2.2999999999999998</v>
      </c>
      <c r="D8" s="16">
        <v>95</v>
      </c>
      <c r="E8" s="16">
        <v>91</v>
      </c>
      <c r="F8" s="16">
        <v>91</v>
      </c>
      <c r="G8" s="16">
        <v>91</v>
      </c>
      <c r="H8" s="16">
        <v>91</v>
      </c>
      <c r="I8" s="36" t="s">
        <v>246</v>
      </c>
      <c r="J8" s="18" t="s">
        <v>251</v>
      </c>
    </row>
    <row r="9" spans="1:10" x14ac:dyDescent="0.3">
      <c r="A9" s="14" t="s">
        <v>252</v>
      </c>
      <c r="B9" s="34">
        <v>35</v>
      </c>
      <c r="C9" s="35">
        <v>1</v>
      </c>
      <c r="D9" s="16">
        <v>175</v>
      </c>
      <c r="E9" s="16">
        <v>168</v>
      </c>
      <c r="F9" s="16">
        <v>168</v>
      </c>
      <c r="G9" s="16">
        <v>168</v>
      </c>
      <c r="H9" s="16">
        <v>168</v>
      </c>
      <c r="I9" s="36" t="s">
        <v>246</v>
      </c>
      <c r="J9" s="18" t="s">
        <v>253</v>
      </c>
    </row>
    <row r="10" spans="1:10" x14ac:dyDescent="0.3">
      <c r="A10" s="14" t="s">
        <v>254</v>
      </c>
      <c r="B10" s="34">
        <v>27</v>
      </c>
      <c r="C10" s="35">
        <v>2.2999999999999998</v>
      </c>
      <c r="D10" s="16">
        <v>45</v>
      </c>
      <c r="E10" s="16">
        <v>43</v>
      </c>
      <c r="F10" s="16">
        <v>43</v>
      </c>
      <c r="G10" s="16">
        <v>43</v>
      </c>
      <c r="H10" s="16">
        <v>43</v>
      </c>
      <c r="I10" s="36" t="s">
        <v>246</v>
      </c>
      <c r="J10" s="18" t="s">
        <v>255</v>
      </c>
    </row>
    <row r="11" spans="1:10" x14ac:dyDescent="0.3">
      <c r="A11" s="14" t="s">
        <v>256</v>
      </c>
      <c r="B11" s="34">
        <v>29</v>
      </c>
      <c r="C11" s="35">
        <v>1.5</v>
      </c>
      <c r="D11" s="16">
        <v>180</v>
      </c>
      <c r="E11" s="16">
        <v>173</v>
      </c>
      <c r="F11" s="16">
        <v>173</v>
      </c>
      <c r="G11" s="16">
        <v>173</v>
      </c>
      <c r="H11" s="16">
        <v>173</v>
      </c>
      <c r="I11" s="36" t="s">
        <v>246</v>
      </c>
      <c r="J11" s="18" t="s">
        <v>257</v>
      </c>
    </row>
    <row r="12" spans="1:10" x14ac:dyDescent="0.3">
      <c r="A12" s="14" t="s">
        <v>258</v>
      </c>
      <c r="B12" s="34">
        <v>38</v>
      </c>
      <c r="C12" s="35">
        <v>0.3</v>
      </c>
      <c r="D12" s="16">
        <v>705</v>
      </c>
      <c r="E12" s="16">
        <v>678</v>
      </c>
      <c r="F12" s="16">
        <v>676</v>
      </c>
      <c r="G12" s="16">
        <v>676</v>
      </c>
      <c r="H12" s="16">
        <v>676</v>
      </c>
      <c r="I12" s="36" t="s">
        <v>259</v>
      </c>
      <c r="J12" s="18" t="s">
        <v>260</v>
      </c>
    </row>
    <row r="13" spans="1:10" x14ac:dyDescent="0.3">
      <c r="A13" s="21" t="s">
        <v>261</v>
      </c>
      <c r="B13" s="21"/>
      <c r="C13" s="21"/>
      <c r="D13" s="22">
        <f>SUM(D6:D12)</f>
        <v>2060</v>
      </c>
      <c r="E13" s="22">
        <f>SUM(E6:E12)</f>
        <v>1979</v>
      </c>
      <c r="F13" s="22">
        <f>SUM(F6:F12)</f>
        <v>1976</v>
      </c>
      <c r="G13" s="22">
        <f>SUM(G6:G12)</f>
        <v>1976</v>
      </c>
      <c r="H13" s="22">
        <f>SUM(H6:H12)</f>
        <v>1976</v>
      </c>
      <c r="I13" s="21"/>
      <c r="J13" s="21"/>
    </row>
    <row r="14" spans="1:10" x14ac:dyDescent="0.3">
      <c r="A14" s="14" t="s">
        <v>262</v>
      </c>
      <c r="B14" s="23"/>
      <c r="C14" s="23"/>
      <c r="D14" s="16">
        <v>2060</v>
      </c>
      <c r="E14" s="16">
        <v>1979</v>
      </c>
      <c r="F14" s="16">
        <v>1976</v>
      </c>
      <c r="G14" s="16">
        <v>1976</v>
      </c>
      <c r="H14" s="16">
        <v>1976</v>
      </c>
      <c r="I14" s="23"/>
      <c r="J14" s="18" t="s">
        <v>263</v>
      </c>
    </row>
    <row r="15" spans="1:10" x14ac:dyDescent="0.3">
      <c r="A15" s="14" t="s">
        <v>264</v>
      </c>
      <c r="B15" s="23"/>
      <c r="C15" s="23"/>
      <c r="D15" s="24">
        <f>D13-D14</f>
        <v>0</v>
      </c>
      <c r="E15" s="24">
        <f>E13-E14</f>
        <v>0</v>
      </c>
      <c r="F15" s="24">
        <f>F13-F14</f>
        <v>0</v>
      </c>
      <c r="G15" s="24">
        <f>G13-G14</f>
        <v>0</v>
      </c>
      <c r="H15" s="24">
        <f>H13-H14</f>
        <v>0</v>
      </c>
      <c r="I15" s="23"/>
      <c r="J15" s="23"/>
    </row>
    <row r="16" spans="1:10" x14ac:dyDescent="0.3">
      <c r="A16" s="19" t="s">
        <v>265</v>
      </c>
      <c r="B16" s="19"/>
      <c r="C16" s="19"/>
      <c r="D16" s="20">
        <f>SUM(D6:D11)</f>
        <v>1355</v>
      </c>
      <c r="E16" s="20">
        <f>SUM(E6:E11)</f>
        <v>1301</v>
      </c>
      <c r="F16" s="20">
        <f>SUM(F6:F11)</f>
        <v>1300</v>
      </c>
      <c r="G16" s="20">
        <f>SUM(G6:G11)</f>
        <v>1300</v>
      </c>
      <c r="H16" s="20">
        <f>SUM(H6:H11)</f>
        <v>1300</v>
      </c>
      <c r="I16" s="19"/>
      <c r="J16" s="19"/>
    </row>
    <row r="18" spans="1:10" x14ac:dyDescent="0.3">
      <c r="A18" s="2" t="s">
        <v>266</v>
      </c>
    </row>
    <row r="19" spans="1:10" x14ac:dyDescent="0.3">
      <c r="A19" s="51" t="s">
        <v>267</v>
      </c>
      <c r="B19" s="52"/>
      <c r="C19" s="53"/>
      <c r="D19" s="8" t="s">
        <v>68</v>
      </c>
      <c r="E19" s="8" t="s">
        <v>69</v>
      </c>
      <c r="F19" s="8" t="s">
        <v>70</v>
      </c>
      <c r="G19" s="13" t="s">
        <v>71</v>
      </c>
      <c r="H19" s="13" t="s">
        <v>72</v>
      </c>
      <c r="J19" s="8" t="s">
        <v>268</v>
      </c>
    </row>
    <row r="20" spans="1:10" x14ac:dyDescent="0.3">
      <c r="A20" s="54" t="s">
        <v>269</v>
      </c>
      <c r="B20" s="52"/>
      <c r="C20" s="53"/>
      <c r="D20" s="37">
        <f>'DATA - Imports &amp; Exports'!D34</f>
        <v>584.1</v>
      </c>
      <c r="E20" s="37">
        <f>'DATA - Imports &amp; Exports'!E34</f>
        <v>549.5999999999998</v>
      </c>
      <c r="F20" s="37">
        <f>'DATA - Imports &amp; Exports'!F34</f>
        <v>670.50000000000011</v>
      </c>
      <c r="G20" s="37">
        <f>'DATA - Imports &amp; Exports'!G34</f>
        <v>417.69999999999993</v>
      </c>
      <c r="H20" s="37">
        <f>'DATA - Imports &amp; Exports'!H34</f>
        <v>400.59999999999997</v>
      </c>
      <c r="J20" s="18" t="s">
        <v>270</v>
      </c>
    </row>
    <row r="21" spans="1:10" x14ac:dyDescent="0.3">
      <c r="A21" s="55" t="s">
        <v>271</v>
      </c>
      <c r="B21" s="52"/>
      <c r="C21" s="53"/>
      <c r="D21" s="25">
        <f>'DATA - Imports &amp; Exports'!D35</f>
        <v>238.10000000000002</v>
      </c>
      <c r="E21" s="25">
        <f>'DATA - Imports &amp; Exports'!E35</f>
        <v>208.00000000000003</v>
      </c>
      <c r="F21" s="25">
        <f>'DATA - Imports &amp; Exports'!F35</f>
        <v>338.6</v>
      </c>
      <c r="G21" s="25">
        <f>'DATA - Imports &amp; Exports'!G35</f>
        <v>226.90000000000003</v>
      </c>
      <c r="H21" s="25">
        <f>'DATA - Imports &amp; Exports'!H35</f>
        <v>264.89999999999998</v>
      </c>
      <c r="J21" s="18" t="s">
        <v>272</v>
      </c>
    </row>
    <row r="22" spans="1:10" x14ac:dyDescent="0.3">
      <c r="A22" s="54" t="s">
        <v>273</v>
      </c>
      <c r="B22" s="52"/>
      <c r="C22" s="53"/>
      <c r="D22" s="16">
        <v>1054</v>
      </c>
      <c r="E22" s="16">
        <v>1207</v>
      </c>
      <c r="F22" s="16">
        <v>1151</v>
      </c>
      <c r="G22" s="17">
        <v>1100</v>
      </c>
      <c r="H22" s="17">
        <v>1100</v>
      </c>
      <c r="J22" s="18" t="s">
        <v>274</v>
      </c>
    </row>
    <row r="23" spans="1:10" x14ac:dyDescent="0.3">
      <c r="A23" s="54" t="s">
        <v>275</v>
      </c>
      <c r="B23" s="52"/>
      <c r="C23" s="53"/>
      <c r="D23" s="26">
        <v>0.8</v>
      </c>
      <c r="J23" s="18" t="s">
        <v>276</v>
      </c>
    </row>
    <row r="24" spans="1:10" x14ac:dyDescent="0.3">
      <c r="A24" s="54" t="s">
        <v>277</v>
      </c>
      <c r="B24" s="52"/>
      <c r="C24" s="53"/>
      <c r="D24" s="24">
        <f>D22*$D$23</f>
        <v>843.2</v>
      </c>
      <c r="E24" s="24">
        <f>E22*$D$23</f>
        <v>965.6</v>
      </c>
      <c r="F24" s="24">
        <f>F22*$D$23</f>
        <v>920.80000000000007</v>
      </c>
      <c r="G24" s="24">
        <f>G22*$D$23</f>
        <v>880</v>
      </c>
      <c r="H24" s="24">
        <f>H22*$D$23</f>
        <v>880</v>
      </c>
    </row>
    <row r="25" spans="1:10" x14ac:dyDescent="0.3">
      <c r="A25" s="54" t="s">
        <v>278</v>
      </c>
      <c r="B25" s="52"/>
      <c r="C25" s="53"/>
      <c r="D25" s="37">
        <f>'DATA - Imports &amp; Exports'!D65</f>
        <v>166.10000000000002</v>
      </c>
      <c r="E25" s="37">
        <f>'DATA - Imports &amp; Exports'!E65</f>
        <v>253.20000000000002</v>
      </c>
      <c r="F25" s="37">
        <f>'DATA - Imports &amp; Exports'!F65</f>
        <v>191.9</v>
      </c>
      <c r="G25" s="37">
        <f>'DATA - Imports &amp; Exports'!G65</f>
        <v>662.80000000000007</v>
      </c>
      <c r="H25" s="37">
        <f>'DATA - Imports &amp; Exports'!H65</f>
        <v>952</v>
      </c>
      <c r="J25" s="18" t="s">
        <v>279</v>
      </c>
    </row>
    <row r="26" spans="1:10" x14ac:dyDescent="0.3">
      <c r="A26" s="54" t="s">
        <v>280</v>
      </c>
      <c r="B26" s="52"/>
      <c r="C26" s="53"/>
      <c r="D26" s="38">
        <v>-56.4</v>
      </c>
      <c r="E26" s="38">
        <v>-8.1999999999999993</v>
      </c>
      <c r="F26" s="38">
        <v>19.899999999999999</v>
      </c>
      <c r="G26" s="39">
        <v>720</v>
      </c>
      <c r="H26" s="39">
        <v>1244</v>
      </c>
      <c r="J26" s="18" t="s">
        <v>281</v>
      </c>
    </row>
    <row r="27" spans="1:10" x14ac:dyDescent="0.3">
      <c r="A27" s="54" t="s">
        <v>282</v>
      </c>
      <c r="B27" s="52"/>
      <c r="C27" s="53"/>
      <c r="D27" s="26">
        <v>0.6</v>
      </c>
      <c r="J27" s="18" t="s">
        <v>283</v>
      </c>
    </row>
    <row r="28" spans="1:10" x14ac:dyDescent="0.3">
      <c r="A28" s="54" t="s">
        <v>284</v>
      </c>
      <c r="B28" s="52"/>
      <c r="C28" s="53"/>
      <c r="D28" s="24">
        <f>D26*$D$27</f>
        <v>-33.839999999999996</v>
      </c>
      <c r="E28" s="24">
        <f>E26*$D$27</f>
        <v>-4.919999999999999</v>
      </c>
      <c r="F28" s="24">
        <f>F26*$D$27</f>
        <v>11.94</v>
      </c>
      <c r="G28" s="24">
        <f>G26*$D$27</f>
        <v>432</v>
      </c>
      <c r="H28" s="24">
        <f>H26*$D$27</f>
        <v>746.4</v>
      </c>
    </row>
    <row r="29" spans="1:10" x14ac:dyDescent="0.3">
      <c r="A29" s="56" t="s">
        <v>285</v>
      </c>
      <c r="B29" s="52"/>
      <c r="C29" s="53"/>
      <c r="D29" s="25">
        <v>1366</v>
      </c>
      <c r="E29" s="25">
        <v>1362</v>
      </c>
      <c r="F29" s="25">
        <v>1488</v>
      </c>
      <c r="G29" s="25">
        <v>1450</v>
      </c>
      <c r="H29" s="25">
        <v>1450</v>
      </c>
      <c r="J29" s="18" t="s">
        <v>286</v>
      </c>
    </row>
    <row r="30" spans="1:10" x14ac:dyDescent="0.3">
      <c r="A30" s="2" t="s">
        <v>287</v>
      </c>
      <c r="D30" s="40">
        <f>D16+D20+D24+D28-D25</f>
        <v>2582.36</v>
      </c>
      <c r="E30" s="40">
        <f>E16+E20+E24+E28-E25</f>
        <v>2558.08</v>
      </c>
      <c r="F30" s="40">
        <f>F16+F20+F24+F28-F25</f>
        <v>2711.34</v>
      </c>
      <c r="G30" s="40">
        <f>G16+G20+G24+G28-G25</f>
        <v>2366.8999999999996</v>
      </c>
      <c r="H30" s="40">
        <f>H16+H20+H24+H28-H25</f>
        <v>2375</v>
      </c>
      <c r="J30" s="23"/>
    </row>
  </sheetData>
  <mergeCells count="13">
    <mergeCell ref="A29:C29"/>
    <mergeCell ref="A25:C25"/>
    <mergeCell ref="A1:J1"/>
    <mergeCell ref="A28:C28"/>
    <mergeCell ref="A19:C19"/>
    <mergeCell ref="A23:C23"/>
    <mergeCell ref="A22:C22"/>
    <mergeCell ref="A27:C27"/>
    <mergeCell ref="A21:C21"/>
    <mergeCell ref="A2:J2"/>
    <mergeCell ref="A26:C26"/>
    <mergeCell ref="A20:C20"/>
    <mergeCell ref="A24:C24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E5A88"/>
  </sheetPr>
  <dimension ref="A1:G23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B13" sqref="B13"/>
    </sheetView>
  </sheetViews>
  <sheetFormatPr defaultRowHeight="14.4" x14ac:dyDescent="0.3"/>
  <cols>
    <col min="1" max="1" width="40" customWidth="1"/>
    <col min="2" max="6" width="10" customWidth="1"/>
  </cols>
  <sheetData>
    <row r="1" spans="1:7" ht="24" customHeight="1" x14ac:dyDescent="0.3">
      <c r="A1" s="47" t="s">
        <v>288</v>
      </c>
      <c r="B1" s="48"/>
      <c r="C1" s="48"/>
      <c r="D1" s="48"/>
      <c r="E1" s="48"/>
      <c r="F1" s="48"/>
      <c r="G1" s="48"/>
    </row>
    <row r="2" spans="1:7" x14ac:dyDescent="0.3">
      <c r="A2" s="50" t="s">
        <v>289</v>
      </c>
      <c r="B2" s="48"/>
      <c r="C2" s="48"/>
      <c r="D2" s="48"/>
      <c r="E2" s="48"/>
      <c r="F2" s="48"/>
      <c r="G2" s="48"/>
    </row>
    <row r="4" spans="1:7" x14ac:dyDescent="0.3">
      <c r="A4" s="8" t="s">
        <v>290</v>
      </c>
      <c r="B4" s="8" t="s">
        <v>68</v>
      </c>
      <c r="C4" s="8" t="s">
        <v>69</v>
      </c>
      <c r="D4" s="8" t="s">
        <v>70</v>
      </c>
      <c r="E4" s="13" t="s">
        <v>71</v>
      </c>
      <c r="F4" s="13" t="s">
        <v>72</v>
      </c>
    </row>
    <row r="5" spans="1:7" x14ac:dyDescent="0.3">
      <c r="A5" s="18" t="s">
        <v>291</v>
      </c>
      <c r="B5" s="25">
        <f>'SOUR - Supply'!D16</f>
        <v>1355</v>
      </c>
      <c r="C5" s="25">
        <f>'SOUR - Supply'!E16</f>
        <v>1301</v>
      </c>
      <c r="D5" s="25">
        <f>'SOUR - Supply'!F16</f>
        <v>1300</v>
      </c>
      <c r="E5" s="25">
        <f>'SOUR - Supply'!G16</f>
        <v>1300</v>
      </c>
      <c r="F5" s="25">
        <f>'SOUR - Supply'!H16</f>
        <v>1300</v>
      </c>
    </row>
    <row r="6" spans="1:7" x14ac:dyDescent="0.3">
      <c r="A6" s="18" t="s">
        <v>292</v>
      </c>
      <c r="B6" s="25">
        <f>'SOUR - Supply'!D20</f>
        <v>584.1</v>
      </c>
      <c r="C6" s="25">
        <f>'SOUR - Supply'!E20</f>
        <v>549.5999999999998</v>
      </c>
      <c r="D6" s="25">
        <f>'SOUR - Supply'!F20</f>
        <v>670.50000000000011</v>
      </c>
      <c r="E6" s="25">
        <f>'SOUR - Supply'!G20</f>
        <v>417.69999999999993</v>
      </c>
      <c r="F6" s="25">
        <f>'SOUR - Supply'!H20</f>
        <v>400.59999999999997</v>
      </c>
    </row>
    <row r="7" spans="1:7" x14ac:dyDescent="0.3">
      <c r="A7" s="18" t="s">
        <v>293</v>
      </c>
      <c r="B7" s="25">
        <f>'SOUR - Supply'!D24</f>
        <v>843.2</v>
      </c>
      <c r="C7" s="25">
        <f>'SOUR - Supply'!E24</f>
        <v>965.6</v>
      </c>
      <c r="D7" s="25">
        <f>'SOUR - Supply'!F24</f>
        <v>920.80000000000007</v>
      </c>
      <c r="E7" s="25">
        <f>'SOUR - Supply'!G24</f>
        <v>880</v>
      </c>
      <c r="F7" s="25">
        <f>'SOUR - Supply'!H24</f>
        <v>880</v>
      </c>
    </row>
    <row r="8" spans="1:7" x14ac:dyDescent="0.3">
      <c r="A8" s="18" t="s">
        <v>294</v>
      </c>
      <c r="B8" s="25">
        <f>'SOUR - Supply'!D28</f>
        <v>-33.839999999999996</v>
      </c>
      <c r="C8" s="25">
        <f>'SOUR - Supply'!E28</f>
        <v>-4.919999999999999</v>
      </c>
      <c r="D8" s="25">
        <f>'SOUR - Supply'!F28</f>
        <v>11.94</v>
      </c>
      <c r="E8" s="25">
        <f>'SOUR - Supply'!G28</f>
        <v>432</v>
      </c>
      <c r="F8" s="25">
        <f>'SOUR - Supply'!H28</f>
        <v>746.4</v>
      </c>
    </row>
    <row r="9" spans="1:7" x14ac:dyDescent="0.3">
      <c r="A9" s="18" t="s">
        <v>295</v>
      </c>
      <c r="B9" s="25">
        <f>'SOUR - Supply'!D25</f>
        <v>166.10000000000002</v>
      </c>
      <c r="C9" s="25">
        <f>'SOUR - Supply'!E25</f>
        <v>253.20000000000002</v>
      </c>
      <c r="D9" s="25">
        <f>'SOUR - Supply'!F25</f>
        <v>191.9</v>
      </c>
      <c r="E9" s="25">
        <f>'SOUR - Supply'!G25</f>
        <v>662.80000000000007</v>
      </c>
      <c r="F9" s="25">
        <f>'SOUR - Supply'!H25</f>
        <v>952</v>
      </c>
    </row>
    <row r="10" spans="1:7" x14ac:dyDescent="0.3">
      <c r="A10" s="41" t="s">
        <v>296</v>
      </c>
      <c r="B10" s="42">
        <f>'SOUR - Supply'!D30</f>
        <v>2582.36</v>
      </c>
      <c r="C10" s="42">
        <f>'SOUR - Supply'!E30</f>
        <v>2558.08</v>
      </c>
      <c r="D10" s="42">
        <f>'SOUR - Supply'!F30</f>
        <v>2711.34</v>
      </c>
      <c r="E10" s="42">
        <f>'SOUR - Supply'!G30</f>
        <v>2366.8999999999996</v>
      </c>
      <c r="F10" s="42">
        <f>'SOUR - Supply'!H30</f>
        <v>2375</v>
      </c>
    </row>
    <row r="11" spans="1:7" x14ac:dyDescent="0.3">
      <c r="A11" s="14" t="s">
        <v>297</v>
      </c>
      <c r="B11" s="37">
        <f>'DATA - Refiner Demand'!B41</f>
        <v>3538.8989000000001</v>
      </c>
      <c r="C11" s="37">
        <f>'DATA - Refiner Demand'!C41</f>
        <v>3475.253835</v>
      </c>
      <c r="D11" s="37">
        <f>'DATA - Refiner Demand'!D41</f>
        <v>3602.5439650000003</v>
      </c>
      <c r="E11" s="37">
        <f>'DATA - Refiner Demand'!E41</f>
        <v>3637.2594550000003</v>
      </c>
      <c r="F11" s="37">
        <f>'DATA - Refiner Demand'!F41</f>
        <v>3697.2105624999999</v>
      </c>
    </row>
    <row r="12" spans="1:7" x14ac:dyDescent="0.3">
      <c r="A12" s="14" t="s">
        <v>298</v>
      </c>
      <c r="B12" s="37">
        <f>'DATA - Refiner Demand'!B42</f>
        <v>1837.6279999999999</v>
      </c>
      <c r="C12" s="37">
        <f>'DATA - Refiner Demand'!C42</f>
        <v>1832.4657</v>
      </c>
      <c r="D12" s="37">
        <f>'DATA - Refiner Demand'!D42</f>
        <v>1842.7902999999999</v>
      </c>
      <c r="E12" s="37">
        <f>'DATA - Refiner Demand'!E42</f>
        <v>1845.6061000000002</v>
      </c>
      <c r="F12" s="37">
        <f>'DATA - Refiner Demand'!F42</f>
        <v>1850.5337500000001</v>
      </c>
    </row>
    <row r="13" spans="1:7" x14ac:dyDescent="0.3">
      <c r="A13" s="43" t="s">
        <v>299</v>
      </c>
      <c r="B13" s="40">
        <f>B10-B11</f>
        <v>-956.53890000000001</v>
      </c>
      <c r="C13" s="40">
        <f>C10-C11</f>
        <v>-917.17383500000005</v>
      </c>
      <c r="D13" s="40">
        <f>D10-D11</f>
        <v>-891.20396500000015</v>
      </c>
      <c r="E13" s="40">
        <f>E10-E11</f>
        <v>-1270.3594550000007</v>
      </c>
      <c r="F13" s="40">
        <f>F10-F11</f>
        <v>-1322.2105624999999</v>
      </c>
    </row>
    <row r="15" spans="1:7" x14ac:dyDescent="0.3">
      <c r="A15" s="14" t="s">
        <v>300</v>
      </c>
      <c r="B15" s="37">
        <f>'DATA - Pipelines'!E12</f>
        <v>1140</v>
      </c>
      <c r="C15" s="37">
        <f>'DATA - Pipelines'!F12</f>
        <v>1150</v>
      </c>
      <c r="D15" s="37">
        <f>'DATA - Pipelines'!G12</f>
        <v>1128</v>
      </c>
      <c r="E15" s="37">
        <f>'DATA - Pipelines'!H12</f>
        <v>1075</v>
      </c>
      <c r="F15" s="37">
        <f>'DATA - Pipelines'!I12</f>
        <v>1032</v>
      </c>
    </row>
    <row r="17" spans="1:7" x14ac:dyDescent="0.3">
      <c r="A17" s="2" t="s">
        <v>301</v>
      </c>
    </row>
    <row r="18" spans="1:7" x14ac:dyDescent="0.3">
      <c r="A18" s="49" t="s">
        <v>302</v>
      </c>
      <c r="B18" s="48"/>
      <c r="C18" s="48"/>
      <c r="D18" s="48"/>
      <c r="E18" s="48"/>
      <c r="F18" s="48"/>
      <c r="G18" s="48"/>
    </row>
    <row r="19" spans="1:7" x14ac:dyDescent="0.3">
      <c r="A19" s="49" t="s">
        <v>303</v>
      </c>
      <c r="B19" s="48"/>
      <c r="C19" s="48"/>
      <c r="D19" s="48"/>
      <c r="E19" s="48"/>
      <c r="F19" s="48"/>
      <c r="G19" s="48"/>
    </row>
    <row r="20" spans="1:7" x14ac:dyDescent="0.3">
      <c r="A20" s="49" t="s">
        <v>304</v>
      </c>
      <c r="B20" s="48"/>
      <c r="C20" s="48"/>
      <c r="D20" s="48"/>
      <c r="E20" s="48"/>
      <c r="F20" s="48"/>
      <c r="G20" s="48"/>
    </row>
    <row r="21" spans="1:7" x14ac:dyDescent="0.3">
      <c r="A21" s="49" t="s">
        <v>305</v>
      </c>
      <c r="B21" s="48"/>
      <c r="C21" s="48"/>
      <c r="D21" s="48"/>
      <c r="E21" s="48"/>
      <c r="F21" s="48"/>
      <c r="G21" s="48"/>
    </row>
    <row r="22" spans="1:7" x14ac:dyDescent="0.3">
      <c r="A22" s="49" t="s">
        <v>306</v>
      </c>
      <c r="B22" s="48"/>
      <c r="C22" s="48"/>
      <c r="D22" s="48"/>
      <c r="E22" s="48"/>
      <c r="F22" s="48"/>
      <c r="G22" s="48"/>
    </row>
    <row r="23" spans="1:7" x14ac:dyDescent="0.3">
      <c r="A23" s="49" t="s">
        <v>307</v>
      </c>
      <c r="B23" s="48"/>
      <c r="C23" s="48"/>
      <c r="D23" s="48"/>
      <c r="E23" s="48"/>
      <c r="F23" s="48"/>
      <c r="G23" s="48"/>
    </row>
  </sheetData>
  <mergeCells count="8">
    <mergeCell ref="A23:G23"/>
    <mergeCell ref="A1:G1"/>
    <mergeCell ref="A18:G18"/>
    <mergeCell ref="A21:G21"/>
    <mergeCell ref="A22:G22"/>
    <mergeCell ref="A20:G20"/>
    <mergeCell ref="A2:G2"/>
    <mergeCell ref="A19:G1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0504D"/>
  </sheetPr>
  <dimension ref="A1:M22"/>
  <sheetViews>
    <sheetView showGridLines="0" workbookViewId="0">
      <pane xSplit="3" ySplit="4" topLeftCell="D5" activePane="bottomRight" state="frozen"/>
      <selection pane="topRight"/>
      <selection pane="bottomLeft"/>
      <selection pane="bottomRight" sqref="A1:M1"/>
    </sheetView>
  </sheetViews>
  <sheetFormatPr defaultRowHeight="14.4" x14ac:dyDescent="0.3"/>
  <cols>
    <col min="1" max="1" width="24" customWidth="1"/>
    <col min="2" max="2" width="15" customWidth="1"/>
    <col min="3" max="3" width="5" customWidth="1"/>
    <col min="4" max="4" width="10" customWidth="1"/>
    <col min="5" max="5" width="13" customWidth="1"/>
    <col min="6" max="6" width="10" customWidth="1"/>
    <col min="7" max="11" width="8" customWidth="1"/>
    <col min="12" max="12" width="18" customWidth="1"/>
    <col min="13" max="13" width="26" customWidth="1"/>
  </cols>
  <sheetData>
    <row r="1" spans="1:13" ht="24" customHeight="1" x14ac:dyDescent="0.3">
      <c r="A1" s="47" t="s">
        <v>308</v>
      </c>
      <c r="B1" s="48"/>
      <c r="C1" s="48"/>
      <c r="D1" s="48"/>
      <c r="E1" s="48"/>
      <c r="F1" s="48"/>
      <c r="G1" s="48"/>
      <c r="H1" s="48"/>
      <c r="I1" s="48"/>
      <c r="J1" s="48"/>
      <c r="K1" s="48"/>
      <c r="L1" s="48"/>
      <c r="M1" s="48"/>
    </row>
    <row r="2" spans="1:13" x14ac:dyDescent="0.3">
      <c r="A2" s="50" t="s">
        <v>309</v>
      </c>
      <c r="B2" s="48"/>
      <c r="C2" s="48"/>
      <c r="D2" s="48"/>
      <c r="E2" s="48"/>
      <c r="F2" s="48"/>
      <c r="G2" s="48"/>
      <c r="H2" s="48"/>
      <c r="I2" s="48"/>
      <c r="J2" s="48"/>
      <c r="K2" s="48"/>
      <c r="L2" s="48"/>
      <c r="M2" s="48"/>
    </row>
    <row r="4" spans="1:13" x14ac:dyDescent="0.3">
      <c r="A4" s="8" t="s">
        <v>187</v>
      </c>
      <c r="B4" s="8" t="s">
        <v>133</v>
      </c>
      <c r="C4" s="8" t="s">
        <v>188</v>
      </c>
      <c r="D4" s="8" t="s">
        <v>189</v>
      </c>
      <c r="E4" s="8" t="s">
        <v>310</v>
      </c>
      <c r="F4" s="8" t="s">
        <v>191</v>
      </c>
      <c r="G4" s="8" t="s">
        <v>192</v>
      </c>
      <c r="H4" s="8" t="s">
        <v>193</v>
      </c>
      <c r="I4" s="8" t="s">
        <v>194</v>
      </c>
      <c r="J4" s="13" t="s">
        <v>195</v>
      </c>
      <c r="K4" s="13" t="s">
        <v>196</v>
      </c>
      <c r="L4" s="8" t="s">
        <v>268</v>
      </c>
      <c r="M4" s="8" t="s">
        <v>311</v>
      </c>
    </row>
    <row r="5" spans="1:13" x14ac:dyDescent="0.3">
      <c r="A5" s="14" t="s">
        <v>197</v>
      </c>
      <c r="B5" s="18" t="s">
        <v>198</v>
      </c>
      <c r="C5" s="28" t="s">
        <v>199</v>
      </c>
      <c r="D5" s="37">
        <f>'DATA - Refiner Demand'!D14</f>
        <v>265</v>
      </c>
      <c r="E5" s="37">
        <f>'DATA - Refiner Demand'!E14</f>
        <v>79</v>
      </c>
      <c r="F5" s="29">
        <f t="shared" ref="F5:F22" si="0">E5/D5</f>
        <v>0.2981132075471698</v>
      </c>
      <c r="G5" s="37">
        <f>'DATA - Refiner Demand'!L14</f>
        <v>197.5</v>
      </c>
      <c r="H5" s="37">
        <f>'DATA - Refiner Demand'!M14</f>
        <v>197.5</v>
      </c>
      <c r="I5" s="37">
        <f>'DATA - Refiner Demand'!N14</f>
        <v>197.5</v>
      </c>
      <c r="J5" s="44">
        <f>'DATA - Refiner Demand'!O14</f>
        <v>197.5</v>
      </c>
      <c r="K5" s="44">
        <f>'DATA - Refiner Demand'!P14</f>
        <v>197.5</v>
      </c>
      <c r="L5" s="18" t="s">
        <v>312</v>
      </c>
      <c r="M5" s="14" t="str">
        <f t="shared" ref="M5:M21" si="1">A5&amp;" ("&amp;B5&amp;")"</f>
        <v>Sweeny (Phillips 66)</v>
      </c>
    </row>
    <row r="6" spans="1:13" x14ac:dyDescent="0.3">
      <c r="A6" s="14" t="s">
        <v>201</v>
      </c>
      <c r="B6" s="18" t="s">
        <v>202</v>
      </c>
      <c r="C6" s="28" t="s">
        <v>199</v>
      </c>
      <c r="D6" s="37">
        <f>'DATA - Refiner Demand'!D15</f>
        <v>631</v>
      </c>
      <c r="E6" s="37">
        <f>'DATA - Refiner Demand'!E15</f>
        <v>33</v>
      </c>
      <c r="F6" s="29">
        <f t="shared" si="0"/>
        <v>5.2297939778129951E-2</v>
      </c>
      <c r="G6" s="37">
        <f>'DATA - Refiner Demand'!L15</f>
        <v>82.5</v>
      </c>
      <c r="H6" s="37">
        <f>'DATA - Refiner Demand'!M15</f>
        <v>82.5</v>
      </c>
      <c r="I6" s="37">
        <f>'DATA - Refiner Demand'!N15</f>
        <v>82.5</v>
      </c>
      <c r="J6" s="44">
        <f>'DATA - Refiner Demand'!O15</f>
        <v>82.5</v>
      </c>
      <c r="K6" s="44">
        <f>'DATA - Refiner Demand'!P15</f>
        <v>82.5</v>
      </c>
      <c r="L6" s="18" t="s">
        <v>312</v>
      </c>
      <c r="M6" s="14" t="str">
        <f t="shared" si="1"/>
        <v>Galveston Bay (Marathon (MAP))</v>
      </c>
    </row>
    <row r="7" spans="1:13" x14ac:dyDescent="0.3">
      <c r="A7" s="14" t="s">
        <v>203</v>
      </c>
      <c r="B7" s="18" t="s">
        <v>204</v>
      </c>
      <c r="C7" s="28" t="s">
        <v>199</v>
      </c>
      <c r="D7" s="37">
        <f>'DATA - Refiner Demand'!D16</f>
        <v>313</v>
      </c>
      <c r="E7" s="37">
        <f>'DATA - Refiner Demand'!E16</f>
        <v>96</v>
      </c>
      <c r="F7" s="29">
        <f t="shared" si="0"/>
        <v>0.30670926517571884</v>
      </c>
      <c r="G7" s="37">
        <f>'DATA - Refiner Demand'!L16</f>
        <v>239.99999999999997</v>
      </c>
      <c r="H7" s="37">
        <f>'DATA - Refiner Demand'!M16</f>
        <v>239.99999999999997</v>
      </c>
      <c r="I7" s="37">
        <f>'DATA - Refiner Demand'!N16</f>
        <v>239.99999999999997</v>
      </c>
      <c r="J7" s="44">
        <f>'DATA - Refiner Demand'!O16</f>
        <v>239.99999999999997</v>
      </c>
      <c r="K7" s="44">
        <f>'DATA - Refiner Demand'!P16</f>
        <v>239.99999999999997</v>
      </c>
      <c r="L7" s="18" t="s">
        <v>312</v>
      </c>
      <c r="M7" s="14" t="str">
        <f t="shared" si="1"/>
        <v>Deer Park (Pemex)</v>
      </c>
    </row>
    <row r="8" spans="1:13" x14ac:dyDescent="0.3">
      <c r="A8" s="14" t="s">
        <v>205</v>
      </c>
      <c r="B8" s="18" t="s">
        <v>206</v>
      </c>
      <c r="C8" s="28" t="s">
        <v>199</v>
      </c>
      <c r="D8" s="37">
        <f>'DATA - Refiner Demand'!D17</f>
        <v>564</v>
      </c>
      <c r="E8" s="37">
        <f>'DATA - Refiner Demand'!E17</f>
        <v>54</v>
      </c>
      <c r="F8" s="29">
        <f t="shared" si="0"/>
        <v>9.5744680851063829E-2</v>
      </c>
      <c r="G8" s="37">
        <f>'DATA - Refiner Demand'!L17</f>
        <v>135</v>
      </c>
      <c r="H8" s="37">
        <f>'DATA - Refiner Demand'!M17</f>
        <v>135</v>
      </c>
      <c r="I8" s="37">
        <f>'DATA - Refiner Demand'!N17</f>
        <v>135</v>
      </c>
      <c r="J8" s="44">
        <f>'DATA - Refiner Demand'!O17</f>
        <v>135</v>
      </c>
      <c r="K8" s="44">
        <f>'DATA - Refiner Demand'!P17</f>
        <v>135</v>
      </c>
      <c r="L8" s="18" t="s">
        <v>312</v>
      </c>
      <c r="M8" s="14" t="str">
        <f t="shared" si="1"/>
        <v>Baytown (ExxonMobil)</v>
      </c>
    </row>
    <row r="9" spans="1:13" x14ac:dyDescent="0.3">
      <c r="A9" s="14" t="s">
        <v>207</v>
      </c>
      <c r="B9" s="18" t="s">
        <v>208</v>
      </c>
      <c r="C9" s="28" t="s">
        <v>199</v>
      </c>
      <c r="D9" s="37">
        <f>'DATA - Refiner Demand'!D18</f>
        <v>225</v>
      </c>
      <c r="E9" s="37">
        <f>'DATA - Refiner Demand'!E18</f>
        <v>54</v>
      </c>
      <c r="F9" s="29">
        <f t="shared" si="0"/>
        <v>0.24</v>
      </c>
      <c r="G9" s="37">
        <f>'DATA - Refiner Demand'!L18</f>
        <v>135</v>
      </c>
      <c r="H9" s="37">
        <f>'DATA - Refiner Demand'!M18</f>
        <v>135</v>
      </c>
      <c r="I9" s="37">
        <f>'DATA - Refiner Demand'!N18</f>
        <v>135</v>
      </c>
      <c r="J9" s="44">
        <f>'DATA - Refiner Demand'!O18</f>
        <v>135</v>
      </c>
      <c r="K9" s="44">
        <f>'DATA - Refiner Demand'!P18</f>
        <v>135</v>
      </c>
      <c r="L9" s="18" t="s">
        <v>312</v>
      </c>
      <c r="M9" s="14" t="str">
        <f t="shared" si="1"/>
        <v>Texas City (Valero)</v>
      </c>
    </row>
    <row r="10" spans="1:13" x14ac:dyDescent="0.3">
      <c r="A10" s="14" t="s">
        <v>209</v>
      </c>
      <c r="B10" s="18" t="s">
        <v>210</v>
      </c>
      <c r="C10" s="28" t="s">
        <v>199</v>
      </c>
      <c r="D10" s="37">
        <f>'DATA - Refiner Demand'!D19</f>
        <v>641</v>
      </c>
      <c r="E10" s="37">
        <f>'DATA - Refiner Demand'!E19</f>
        <v>178</v>
      </c>
      <c r="F10" s="29">
        <f t="shared" si="0"/>
        <v>0.27769110764430577</v>
      </c>
      <c r="G10" s="37">
        <f>'DATA - Refiner Demand'!L19</f>
        <v>445</v>
      </c>
      <c r="H10" s="37">
        <f>'DATA - Refiner Demand'!M19</f>
        <v>445</v>
      </c>
      <c r="I10" s="37">
        <f>'DATA - Refiner Demand'!N19</f>
        <v>445</v>
      </c>
      <c r="J10" s="44">
        <f>'DATA - Refiner Demand'!O19</f>
        <v>445</v>
      </c>
      <c r="K10" s="44">
        <f>'DATA - Refiner Demand'!P19</f>
        <v>445</v>
      </c>
      <c r="L10" s="18" t="s">
        <v>312</v>
      </c>
      <c r="M10" s="14" t="str">
        <f t="shared" si="1"/>
        <v>Port Arthur (Motiva)</v>
      </c>
    </row>
    <row r="11" spans="1:13" x14ac:dyDescent="0.3">
      <c r="A11" s="14" t="s">
        <v>209</v>
      </c>
      <c r="B11" s="18" t="s">
        <v>208</v>
      </c>
      <c r="C11" s="28" t="s">
        <v>199</v>
      </c>
      <c r="D11" s="37">
        <f>'DATA - Refiner Demand'!D20</f>
        <v>380</v>
      </c>
      <c r="E11" s="37">
        <f>'DATA - Refiner Demand'!E20</f>
        <v>158</v>
      </c>
      <c r="F11" s="29">
        <f t="shared" si="0"/>
        <v>0.41578947368421054</v>
      </c>
      <c r="G11" s="37">
        <f>'DATA - Refiner Demand'!L20</f>
        <v>332.12</v>
      </c>
      <c r="H11" s="37">
        <f>'DATA - Refiner Demand'!M20</f>
        <v>324.178</v>
      </c>
      <c r="I11" s="37">
        <f>'DATA - Refiner Demand'!N20</f>
        <v>340.06199999999995</v>
      </c>
      <c r="J11" s="44">
        <f>'DATA - Refiner Demand'!O20</f>
        <v>344.39399999999995</v>
      </c>
      <c r="K11" s="44">
        <f>'DATA - Refiner Demand'!P20</f>
        <v>351.97499999999997</v>
      </c>
      <c r="L11" s="18" t="s">
        <v>312</v>
      </c>
      <c r="M11" s="14" t="str">
        <f t="shared" si="1"/>
        <v>Port Arthur (Valero)</v>
      </c>
    </row>
    <row r="12" spans="1:13" x14ac:dyDescent="0.3">
      <c r="A12" s="14" t="s">
        <v>211</v>
      </c>
      <c r="B12" s="18" t="s">
        <v>212</v>
      </c>
      <c r="C12" s="28" t="s">
        <v>213</v>
      </c>
      <c r="D12" s="37">
        <f>'DATA - Refiner Demand'!D21</f>
        <v>460</v>
      </c>
      <c r="E12" s="37">
        <f>'DATA - Refiner Demand'!E21</f>
        <v>110</v>
      </c>
      <c r="F12" s="29">
        <f t="shared" si="0"/>
        <v>0.2391304347826087</v>
      </c>
      <c r="G12" s="37">
        <f>'DATA - Refiner Demand'!L21</f>
        <v>275</v>
      </c>
      <c r="H12" s="37">
        <f>'DATA - Refiner Demand'!M21</f>
        <v>275</v>
      </c>
      <c r="I12" s="37">
        <f>'DATA - Refiner Demand'!N21</f>
        <v>275</v>
      </c>
      <c r="J12" s="44">
        <f>'DATA - Refiner Demand'!O21</f>
        <v>275</v>
      </c>
      <c r="K12" s="44">
        <f>'DATA - Refiner Demand'!P21</f>
        <v>275</v>
      </c>
      <c r="L12" s="18" t="s">
        <v>312</v>
      </c>
      <c r="M12" s="14" t="str">
        <f t="shared" si="1"/>
        <v>Lake Charles (Citgo)</v>
      </c>
    </row>
    <row r="13" spans="1:13" x14ac:dyDescent="0.3">
      <c r="A13" s="14" t="s">
        <v>214</v>
      </c>
      <c r="B13" s="18" t="s">
        <v>198</v>
      </c>
      <c r="C13" s="28" t="s">
        <v>213</v>
      </c>
      <c r="D13" s="37">
        <f>'DATA - Refiner Demand'!D22</f>
        <v>264</v>
      </c>
      <c r="E13" s="37">
        <f>'DATA - Refiner Demand'!E22</f>
        <v>67</v>
      </c>
      <c r="F13" s="29">
        <f t="shared" si="0"/>
        <v>0.25378787878787878</v>
      </c>
      <c r="G13" s="37">
        <f>'DATA - Refiner Demand'!L22</f>
        <v>167.5</v>
      </c>
      <c r="H13" s="37">
        <f>'DATA - Refiner Demand'!M22</f>
        <v>167.5</v>
      </c>
      <c r="I13" s="37">
        <f>'DATA - Refiner Demand'!N22</f>
        <v>167.5</v>
      </c>
      <c r="J13" s="44">
        <f>'DATA - Refiner Demand'!O22</f>
        <v>167.5</v>
      </c>
      <c r="K13" s="44">
        <f>'DATA - Refiner Demand'!P22</f>
        <v>167.5</v>
      </c>
      <c r="L13" s="18" t="s">
        <v>312</v>
      </c>
      <c r="M13" s="14" t="str">
        <f t="shared" si="1"/>
        <v>Lake Charles (Westlake) (Phillips 66)</v>
      </c>
    </row>
    <row r="14" spans="1:13" x14ac:dyDescent="0.3">
      <c r="A14" s="14" t="s">
        <v>215</v>
      </c>
      <c r="B14" s="18" t="s">
        <v>206</v>
      </c>
      <c r="C14" s="28" t="s">
        <v>199</v>
      </c>
      <c r="D14" s="37">
        <f>'DATA - Refiner Demand'!D23</f>
        <v>612</v>
      </c>
      <c r="E14" s="37">
        <f>'DATA - Refiner Demand'!E23</f>
        <v>47</v>
      </c>
      <c r="F14" s="29">
        <f t="shared" si="0"/>
        <v>7.6797385620915037E-2</v>
      </c>
      <c r="G14" s="37">
        <f>'DATA - Refiner Demand'!L23</f>
        <v>117.5</v>
      </c>
      <c r="H14" s="37">
        <f>'DATA - Refiner Demand'!M23</f>
        <v>117.5</v>
      </c>
      <c r="I14" s="37">
        <f>'DATA - Refiner Demand'!N23</f>
        <v>117.5</v>
      </c>
      <c r="J14" s="44">
        <f>'DATA - Refiner Demand'!O23</f>
        <v>117.5</v>
      </c>
      <c r="K14" s="44">
        <f>'DATA - Refiner Demand'!P23</f>
        <v>117.5</v>
      </c>
      <c r="L14" s="18" t="s">
        <v>312</v>
      </c>
      <c r="M14" s="14" t="str">
        <f t="shared" si="1"/>
        <v>Beaumont (ExxonMobil)</v>
      </c>
    </row>
    <row r="15" spans="1:13" x14ac:dyDescent="0.3">
      <c r="A15" s="14" t="s">
        <v>209</v>
      </c>
      <c r="B15" s="18" t="s">
        <v>216</v>
      </c>
      <c r="C15" s="28" t="s">
        <v>199</v>
      </c>
      <c r="D15" s="37">
        <f>'DATA - Refiner Demand'!D24</f>
        <v>238</v>
      </c>
      <c r="E15" s="37">
        <f>'DATA - Refiner Demand'!E24</f>
        <v>60</v>
      </c>
      <c r="F15" s="29">
        <f t="shared" si="0"/>
        <v>0.25210084033613445</v>
      </c>
      <c r="G15" s="37">
        <f>'DATA - Refiner Demand'!L24</f>
        <v>150</v>
      </c>
      <c r="H15" s="37">
        <f>'DATA - Refiner Demand'!M24</f>
        <v>150</v>
      </c>
      <c r="I15" s="37">
        <f>'DATA - Refiner Demand'!N24</f>
        <v>150</v>
      </c>
      <c r="J15" s="44">
        <f>'DATA - Refiner Demand'!O24</f>
        <v>150</v>
      </c>
      <c r="K15" s="44">
        <f>'DATA - Refiner Demand'!P24</f>
        <v>150</v>
      </c>
      <c r="L15" s="18" t="s">
        <v>312</v>
      </c>
      <c r="M15" s="14" t="str">
        <f t="shared" si="1"/>
        <v>Port Arthur (TotalEnergies)</v>
      </c>
    </row>
    <row r="16" spans="1:13" x14ac:dyDescent="0.3">
      <c r="A16" s="14" t="s">
        <v>217</v>
      </c>
      <c r="B16" s="18" t="s">
        <v>208</v>
      </c>
      <c r="C16" s="28" t="s">
        <v>199</v>
      </c>
      <c r="D16" s="37">
        <f>'DATA - Refiner Demand'!D25</f>
        <v>290</v>
      </c>
      <c r="E16" s="37">
        <f>'DATA - Refiner Demand'!E25</f>
        <v>45</v>
      </c>
      <c r="F16" s="29">
        <f t="shared" si="0"/>
        <v>0.15517241379310345</v>
      </c>
      <c r="G16" s="37">
        <f>'DATA - Refiner Demand'!L25</f>
        <v>112.5</v>
      </c>
      <c r="H16" s="37">
        <f>'DATA - Refiner Demand'!M25</f>
        <v>112.5</v>
      </c>
      <c r="I16" s="37">
        <f>'DATA - Refiner Demand'!N25</f>
        <v>112.5</v>
      </c>
      <c r="J16" s="44">
        <f>'DATA - Refiner Demand'!O25</f>
        <v>112.5</v>
      </c>
      <c r="K16" s="44">
        <f>'DATA - Refiner Demand'!P25</f>
        <v>112.5</v>
      </c>
      <c r="L16" s="18" t="s">
        <v>312</v>
      </c>
      <c r="M16" s="14" t="str">
        <f t="shared" si="1"/>
        <v>Corpus Christi (E+W) (Valero)</v>
      </c>
    </row>
    <row r="17" spans="1:13" x14ac:dyDescent="0.3">
      <c r="A17" s="14" t="s">
        <v>218</v>
      </c>
      <c r="B17" s="18" t="s">
        <v>219</v>
      </c>
      <c r="C17" s="28" t="s">
        <v>220</v>
      </c>
      <c r="D17" s="37">
        <f>'DATA - Refiner Demand'!D26</f>
        <v>356</v>
      </c>
      <c r="E17" s="37">
        <f>'DATA - Refiner Demand'!E26</f>
        <v>104</v>
      </c>
      <c r="F17" s="29">
        <f t="shared" si="0"/>
        <v>0.29213483146067415</v>
      </c>
      <c r="G17" s="37">
        <f>'DATA - Refiner Demand'!L26</f>
        <v>260</v>
      </c>
      <c r="H17" s="37">
        <f>'DATA - Refiner Demand'!M26</f>
        <v>260</v>
      </c>
      <c r="I17" s="37">
        <f>'DATA - Refiner Demand'!N26</f>
        <v>260</v>
      </c>
      <c r="J17" s="44">
        <f>'DATA - Refiner Demand'!O26</f>
        <v>260</v>
      </c>
      <c r="K17" s="44">
        <f>'DATA - Refiner Demand'!P26</f>
        <v>260</v>
      </c>
      <c r="L17" s="18" t="s">
        <v>312</v>
      </c>
      <c r="M17" s="14" t="str">
        <f t="shared" si="1"/>
        <v>Pascagoula (Chevron)</v>
      </c>
    </row>
    <row r="18" spans="1:13" x14ac:dyDescent="0.3">
      <c r="A18" s="14" t="s">
        <v>221</v>
      </c>
      <c r="B18" s="18" t="s">
        <v>146</v>
      </c>
      <c r="C18" s="28" t="s">
        <v>213</v>
      </c>
      <c r="D18" s="37">
        <f>'DATA - Refiner Demand'!D27</f>
        <v>232</v>
      </c>
      <c r="E18" s="37">
        <f>'DATA - Refiner Demand'!E27</f>
        <v>29</v>
      </c>
      <c r="F18" s="29">
        <f t="shared" si="0"/>
        <v>0.125</v>
      </c>
      <c r="G18" s="37">
        <f>'DATA - Refiner Demand'!L27</f>
        <v>72.499999999999986</v>
      </c>
      <c r="H18" s="37">
        <f>'DATA - Refiner Demand'!M27</f>
        <v>72.499999999999986</v>
      </c>
      <c r="I18" s="37">
        <f>'DATA - Refiner Demand'!N27</f>
        <v>72.499999999999986</v>
      </c>
      <c r="J18" s="44">
        <f>'DATA - Refiner Demand'!O27</f>
        <v>72.499999999999986</v>
      </c>
      <c r="K18" s="44">
        <f>'DATA - Refiner Demand'!P27</f>
        <v>72.499999999999986</v>
      </c>
      <c r="L18" s="18" t="s">
        <v>312</v>
      </c>
      <c r="M18" s="14" t="str">
        <f t="shared" si="1"/>
        <v>Norco (Shell)</v>
      </c>
    </row>
    <row r="19" spans="1:13" x14ac:dyDescent="0.3">
      <c r="A19" s="14" t="s">
        <v>222</v>
      </c>
      <c r="B19" s="18" t="s">
        <v>223</v>
      </c>
      <c r="C19" s="28" t="s">
        <v>199</v>
      </c>
      <c r="D19" s="37">
        <f>'DATA - Refiner Demand'!D28</f>
        <v>356</v>
      </c>
      <c r="E19" s="37">
        <f>'DATA - Refiner Demand'!E28</f>
        <v>0</v>
      </c>
      <c r="F19" s="29">
        <f t="shared" si="0"/>
        <v>0</v>
      </c>
      <c r="G19" s="37">
        <f>'DATA - Refiner Demand'!L28</f>
        <v>0</v>
      </c>
      <c r="H19" s="37">
        <f>'DATA - Refiner Demand'!M28</f>
        <v>0</v>
      </c>
      <c r="I19" s="37">
        <f>'DATA - Refiner Demand'!N28</f>
        <v>0</v>
      </c>
      <c r="J19" s="44">
        <f>'DATA - Refiner Demand'!O28</f>
        <v>0</v>
      </c>
      <c r="K19" s="44">
        <f>'DATA - Refiner Demand'!P28</f>
        <v>0</v>
      </c>
      <c r="L19" s="18" t="s">
        <v>312</v>
      </c>
      <c r="M19" s="14" t="str">
        <f t="shared" si="1"/>
        <v>Corpus Christi (Flint Hills)</v>
      </c>
    </row>
    <row r="20" spans="1:13" x14ac:dyDescent="0.3">
      <c r="A20" s="14" t="s">
        <v>224</v>
      </c>
      <c r="B20" s="18" t="s">
        <v>225</v>
      </c>
      <c r="C20" s="28" t="s">
        <v>213</v>
      </c>
      <c r="D20" s="37">
        <f>'DATA - Refiner Demand'!D29</f>
        <v>190</v>
      </c>
      <c r="E20" s="37">
        <f>'DATA - Refiner Demand'!E29</f>
        <v>42</v>
      </c>
      <c r="F20" s="29">
        <f t="shared" si="0"/>
        <v>0.22105263157894736</v>
      </c>
      <c r="G20" s="37">
        <f>'DATA - Refiner Demand'!L29</f>
        <v>105</v>
      </c>
      <c r="H20" s="37">
        <f>'DATA - Refiner Demand'!M29</f>
        <v>105</v>
      </c>
      <c r="I20" s="37">
        <f>'DATA - Refiner Demand'!N29</f>
        <v>105</v>
      </c>
      <c r="J20" s="44">
        <f>'DATA - Refiner Demand'!O29</f>
        <v>105</v>
      </c>
      <c r="K20" s="44">
        <f>'DATA - Refiner Demand'!P29</f>
        <v>105</v>
      </c>
      <c r="L20" s="18" t="s">
        <v>312</v>
      </c>
      <c r="M20" s="14" t="str">
        <f t="shared" si="1"/>
        <v>Chalmette (PBF)</v>
      </c>
    </row>
    <row r="21" spans="1:13" x14ac:dyDescent="0.3">
      <c r="A21" s="14" t="s">
        <v>226</v>
      </c>
      <c r="B21" s="18" t="s">
        <v>208</v>
      </c>
      <c r="C21" s="28" t="s">
        <v>213</v>
      </c>
      <c r="D21" s="37">
        <f>'DATA - Refiner Demand'!D30</f>
        <v>125</v>
      </c>
      <c r="E21" s="37">
        <f>'DATA - Refiner Demand'!E30</f>
        <v>0</v>
      </c>
      <c r="F21" s="29">
        <f t="shared" si="0"/>
        <v>0</v>
      </c>
      <c r="G21" s="37">
        <f>'DATA - Refiner Demand'!L30</f>
        <v>0</v>
      </c>
      <c r="H21" s="37">
        <f>'DATA - Refiner Demand'!M30</f>
        <v>0</v>
      </c>
      <c r="I21" s="37">
        <f>'DATA - Refiner Demand'!N30</f>
        <v>0</v>
      </c>
      <c r="J21" s="44">
        <f>'DATA - Refiner Demand'!O30</f>
        <v>0</v>
      </c>
      <c r="K21" s="44">
        <f>'DATA - Refiner Demand'!P30</f>
        <v>0</v>
      </c>
      <c r="L21" s="18" t="s">
        <v>312</v>
      </c>
      <c r="M21" s="14" t="str">
        <f t="shared" si="1"/>
        <v>Meraux (Valero)</v>
      </c>
    </row>
    <row r="22" spans="1:13" x14ac:dyDescent="0.3">
      <c r="A22" s="21" t="s">
        <v>313</v>
      </c>
      <c r="B22" s="21"/>
      <c r="C22" s="21"/>
      <c r="D22" s="22">
        <f>SUM(D5:D21)</f>
        <v>6142</v>
      </c>
      <c r="E22" s="22">
        <f>SUM(E5:E21)</f>
        <v>1156</v>
      </c>
      <c r="F22" s="45">
        <f t="shared" si="0"/>
        <v>0.18821230869423641</v>
      </c>
      <c r="G22" s="22">
        <f>SUM(G5:G21)</f>
        <v>2827.12</v>
      </c>
      <c r="H22" s="22">
        <f>SUM(H5:H21)</f>
        <v>2819.1779999999999</v>
      </c>
      <c r="I22" s="22">
        <f>SUM(I5:I21)</f>
        <v>2835.0619999999999</v>
      </c>
      <c r="J22" s="22">
        <f>SUM(J5:J21)</f>
        <v>2839.3940000000002</v>
      </c>
      <c r="K22" s="22">
        <f>SUM(K5:K21)</f>
        <v>2846.9749999999999</v>
      </c>
      <c r="L22" s="21"/>
    </row>
  </sheetData>
  <mergeCells count="2">
    <mergeCell ref="A2:M2"/>
    <mergeCell ref="A1:M1"/>
  </mergeCells>
  <pageMargins left="0.75" right="0.75" top="1" bottom="1" header="0.5" footer="0.5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0504D"/>
  </sheetPr>
  <dimension ref="A1:G31"/>
  <sheetViews>
    <sheetView showGridLines="0" workbookViewId="0">
      <pane xSplit="1" ySplit="2" topLeftCell="B3" activePane="bottomRight" state="frozen"/>
      <selection pane="topRight"/>
      <selection pane="bottomLeft"/>
      <selection pane="bottomRight" sqref="A1:G1"/>
    </sheetView>
  </sheetViews>
  <sheetFormatPr defaultRowHeight="14.4" x14ac:dyDescent="0.3"/>
  <cols>
    <col min="1" max="1" width="42" customWidth="1"/>
    <col min="2" max="6" width="10" customWidth="1"/>
  </cols>
  <sheetData>
    <row r="1" spans="1:7" ht="24" customHeight="1" x14ac:dyDescent="0.3">
      <c r="A1" s="47" t="s">
        <v>314</v>
      </c>
      <c r="B1" s="48"/>
      <c r="C1" s="48"/>
      <c r="D1" s="48"/>
      <c r="E1" s="48"/>
      <c r="F1" s="48"/>
      <c r="G1" s="48"/>
    </row>
    <row r="2" spans="1:7" x14ac:dyDescent="0.3">
      <c r="A2" s="50" t="s">
        <v>315</v>
      </c>
      <c r="B2" s="48"/>
      <c r="C2" s="48"/>
      <c r="D2" s="48"/>
      <c r="E2" s="48"/>
      <c r="F2" s="48"/>
      <c r="G2" s="48"/>
    </row>
    <row r="4" spans="1:7" x14ac:dyDescent="0.3">
      <c r="A4" s="8" t="s">
        <v>290</v>
      </c>
      <c r="B4" s="8" t="s">
        <v>68</v>
      </c>
      <c r="C4" s="8" t="s">
        <v>69</v>
      </c>
      <c r="D4" s="8" t="s">
        <v>70</v>
      </c>
      <c r="E4" s="13" t="s">
        <v>71</v>
      </c>
      <c r="F4" s="13" t="s">
        <v>72</v>
      </c>
    </row>
    <row r="5" spans="1:7" x14ac:dyDescent="0.3">
      <c r="A5" s="14" t="s">
        <v>316</v>
      </c>
      <c r="B5" s="25">
        <f>SUMPRODUCT(('SOUR - Supply'!$B$6:$B$12&lt;24)*('SOUR - Supply'!D6:D12))</f>
        <v>0</v>
      </c>
      <c r="C5" s="25">
        <f>SUMPRODUCT(('SOUR - Supply'!$B$6:$B$12&lt;24)*('SOUR - Supply'!E6:E12))</f>
        <v>0</v>
      </c>
      <c r="D5" s="25">
        <f>SUMPRODUCT(('SOUR - Supply'!$B$6:$B$12&lt;24)*('SOUR - Supply'!F6:F12))</f>
        <v>0</v>
      </c>
      <c r="E5" s="25">
        <f>SUMPRODUCT(('SOUR - Supply'!$B$6:$B$12&lt;24)*('SOUR - Supply'!G6:G12))</f>
        <v>0</v>
      </c>
      <c r="F5" s="25">
        <f>SUMPRODUCT(('SOUR - Supply'!$B$6:$B$12&lt;24)*('SOUR - Supply'!H6:H12))</f>
        <v>0</v>
      </c>
    </row>
    <row r="6" spans="1:7" x14ac:dyDescent="0.3">
      <c r="A6" s="14" t="s">
        <v>317</v>
      </c>
      <c r="B6" s="37">
        <f>'DATA - Imports &amp; Exports'!D35</f>
        <v>238.10000000000002</v>
      </c>
      <c r="C6" s="37">
        <f>'DATA - Imports &amp; Exports'!E35</f>
        <v>208.00000000000003</v>
      </c>
      <c r="D6" s="37">
        <f>'DATA - Imports &amp; Exports'!F35</f>
        <v>338.6</v>
      </c>
      <c r="E6" s="37">
        <f>'DATA - Imports &amp; Exports'!G35</f>
        <v>226.90000000000003</v>
      </c>
      <c r="F6" s="37">
        <f>'DATA - Imports &amp; Exports'!H35</f>
        <v>264.89999999999998</v>
      </c>
    </row>
    <row r="7" spans="1:7" x14ac:dyDescent="0.3">
      <c r="A7" s="14" t="s">
        <v>273</v>
      </c>
      <c r="B7" s="25">
        <f>'SOUR - Supply'!D22</f>
        <v>1054</v>
      </c>
      <c r="C7" s="25">
        <f>'SOUR - Supply'!E22</f>
        <v>1207</v>
      </c>
      <c r="D7" s="25">
        <f>'SOUR - Supply'!F22</f>
        <v>1151</v>
      </c>
      <c r="E7" s="25">
        <f>'SOUR - Supply'!G22</f>
        <v>1100</v>
      </c>
      <c r="F7" s="25">
        <f>'SOUR - Supply'!H22</f>
        <v>1100</v>
      </c>
    </row>
    <row r="8" spans="1:7" x14ac:dyDescent="0.3">
      <c r="A8" s="14" t="s">
        <v>318</v>
      </c>
      <c r="B8" s="26">
        <v>0.7</v>
      </c>
      <c r="C8" s="1" t="s">
        <v>319</v>
      </c>
    </row>
    <row r="9" spans="1:7" x14ac:dyDescent="0.3">
      <c r="A9" s="14" t="s">
        <v>320</v>
      </c>
      <c r="B9" s="24">
        <f>B7*$B$8</f>
        <v>737.8</v>
      </c>
      <c r="C9" s="24">
        <f>C7*$B$8</f>
        <v>844.9</v>
      </c>
      <c r="D9" s="24">
        <f>D7*$B$8</f>
        <v>805.69999999999993</v>
      </c>
      <c r="E9" s="24">
        <f>E7*$B$8</f>
        <v>770</v>
      </c>
      <c r="F9" s="24">
        <f>F7*$B$8</f>
        <v>770</v>
      </c>
    </row>
    <row r="10" spans="1:7" x14ac:dyDescent="0.3">
      <c r="A10" s="14" t="s">
        <v>321</v>
      </c>
      <c r="B10" s="37">
        <f>'DATA - Imports &amp; Exports'!D66</f>
        <v>76.900000000000006</v>
      </c>
      <c r="C10" s="37">
        <f>'DATA - Imports &amp; Exports'!E66</f>
        <v>116.5</v>
      </c>
      <c r="D10" s="37">
        <f>'DATA - Imports &amp; Exports'!F66</f>
        <v>64.5</v>
      </c>
      <c r="E10" s="37">
        <f>'DATA - Imports &amp; Exports'!G66</f>
        <v>21.2</v>
      </c>
      <c r="F10" s="37">
        <f>'DATA - Imports &amp; Exports'!H66</f>
        <v>81.3</v>
      </c>
    </row>
    <row r="11" spans="1:7" x14ac:dyDescent="0.3">
      <c r="A11" s="41" t="s">
        <v>322</v>
      </c>
      <c r="B11" s="46">
        <f>B5+B6+B9-B10</f>
        <v>899</v>
      </c>
      <c r="C11" s="46">
        <f>C5+C6+C9-C10</f>
        <v>936.40000000000009</v>
      </c>
      <c r="D11" s="46">
        <f>D5+D6+D9-D10</f>
        <v>1079.8</v>
      </c>
      <c r="E11" s="46">
        <f>E5+E6+E9-E10</f>
        <v>975.7</v>
      </c>
      <c r="F11" s="46">
        <f>F5+F6+F9-F10</f>
        <v>953.60000000000014</v>
      </c>
    </row>
    <row r="12" spans="1:7" x14ac:dyDescent="0.3">
      <c r="A12" s="14" t="s">
        <v>323</v>
      </c>
      <c r="B12" s="37">
        <f>'DATA - Refiner Demand'!B42</f>
        <v>1837.6279999999999</v>
      </c>
      <c r="C12" s="37">
        <f>'DATA - Refiner Demand'!C42</f>
        <v>1832.4657</v>
      </c>
      <c r="D12" s="37">
        <f>'DATA - Refiner Demand'!D42</f>
        <v>1842.7902999999999</v>
      </c>
      <c r="E12" s="37">
        <f>'DATA - Refiner Demand'!E42</f>
        <v>1845.6061000000002</v>
      </c>
      <c r="F12" s="37">
        <f>'DATA - Refiner Demand'!F42</f>
        <v>1850.5337500000001</v>
      </c>
    </row>
    <row r="13" spans="1:7" x14ac:dyDescent="0.3">
      <c r="A13" s="14" t="s">
        <v>324</v>
      </c>
      <c r="B13" s="25">
        <f>'DATA - Refiner Demand'!B37</f>
        <v>2827.12</v>
      </c>
      <c r="C13" s="25">
        <f>'DATA - Refiner Demand'!C37</f>
        <v>2819.1779999999999</v>
      </c>
      <c r="D13" s="25">
        <f>'DATA - Refiner Demand'!D37</f>
        <v>2835.0619999999999</v>
      </c>
      <c r="E13" s="25">
        <f>'DATA - Refiner Demand'!E37</f>
        <v>2839.3940000000002</v>
      </c>
      <c r="F13" s="25">
        <f>'DATA - Refiner Demand'!F37</f>
        <v>2846.9749999999999</v>
      </c>
    </row>
    <row r="14" spans="1:7" x14ac:dyDescent="0.3">
      <c r="A14" s="43" t="s">
        <v>325</v>
      </c>
      <c r="B14" s="40">
        <f>B11-B12</f>
        <v>-938.62799999999993</v>
      </c>
      <c r="C14" s="40">
        <f>C11-C12</f>
        <v>-896.06569999999988</v>
      </c>
      <c r="D14" s="40">
        <f>D11-D12</f>
        <v>-762.99029999999993</v>
      </c>
      <c r="E14" s="40">
        <f>E11-E12</f>
        <v>-869.90610000000015</v>
      </c>
      <c r="F14" s="40">
        <f>F11-F12</f>
        <v>-896.93374999999992</v>
      </c>
    </row>
    <row r="16" spans="1:7" x14ac:dyDescent="0.3">
      <c r="A16" s="2" t="s">
        <v>301</v>
      </c>
    </row>
    <row r="17" spans="1:7" x14ac:dyDescent="0.3">
      <c r="A17" s="49" t="s">
        <v>326</v>
      </c>
      <c r="B17" s="48"/>
      <c r="C17" s="48"/>
      <c r="D17" s="48"/>
      <c r="E17" s="48"/>
      <c r="F17" s="48"/>
      <c r="G17" s="48"/>
    </row>
    <row r="18" spans="1:7" x14ac:dyDescent="0.3">
      <c r="A18" s="49" t="s">
        <v>327</v>
      </c>
      <c r="B18" s="48"/>
      <c r="C18" s="48"/>
      <c r="D18" s="48"/>
      <c r="E18" s="48"/>
      <c r="F18" s="48"/>
      <c r="G18" s="48"/>
    </row>
    <row r="19" spans="1:7" x14ac:dyDescent="0.3">
      <c r="A19" s="49" t="s">
        <v>328</v>
      </c>
      <c r="B19" s="48"/>
      <c r="C19" s="48"/>
      <c r="D19" s="48"/>
      <c r="E19" s="48"/>
      <c r="F19" s="48"/>
      <c r="G19" s="48"/>
    </row>
    <row r="20" spans="1:7" x14ac:dyDescent="0.3">
      <c r="A20" s="49" t="s">
        <v>329</v>
      </c>
      <c r="B20" s="48"/>
      <c r="C20" s="48"/>
      <c r="D20" s="48"/>
      <c r="E20" s="48"/>
      <c r="F20" s="48"/>
      <c r="G20" s="48"/>
    </row>
    <row r="22" spans="1:7" x14ac:dyDescent="0.3">
      <c r="A22" s="2" t="s">
        <v>330</v>
      </c>
    </row>
    <row r="23" spans="1:7" x14ac:dyDescent="0.3">
      <c r="A23" s="8" t="s">
        <v>331</v>
      </c>
      <c r="B23" s="8" t="s">
        <v>68</v>
      </c>
      <c r="C23" s="8" t="s">
        <v>69</v>
      </c>
      <c r="D23" s="8" t="s">
        <v>70</v>
      </c>
      <c r="E23" s="13" t="s">
        <v>71</v>
      </c>
      <c r="F23" s="13" t="s">
        <v>72</v>
      </c>
    </row>
    <row r="24" spans="1:7" x14ac:dyDescent="0.3">
      <c r="A24" s="14" t="s">
        <v>332</v>
      </c>
      <c r="B24" s="37">
        <f>'DATA - Imports &amp; Exports'!D7</f>
        <v>124.4</v>
      </c>
      <c r="C24" s="37">
        <f>'DATA - Imports &amp; Exports'!E7</f>
        <v>99.1</v>
      </c>
      <c r="D24" s="37">
        <f>'DATA - Imports &amp; Exports'!F7</f>
        <v>128.69999999999999</v>
      </c>
      <c r="E24" s="37">
        <f>'DATA - Imports &amp; Exports'!G7</f>
        <v>104.2</v>
      </c>
      <c r="F24" s="37">
        <f>'DATA - Imports &amp; Exports'!H7</f>
        <v>73.099999999999994</v>
      </c>
    </row>
    <row r="25" spans="1:7" x14ac:dyDescent="0.3">
      <c r="A25" s="14" t="s">
        <v>333</v>
      </c>
      <c r="B25" s="37">
        <f>'DATA - Imports &amp; Exports'!D8</f>
        <v>35.700000000000003</v>
      </c>
      <c r="C25" s="37">
        <f>'DATA - Imports &amp; Exports'!E8</f>
        <v>18.899999999999999</v>
      </c>
      <c r="D25" s="37">
        <f>'DATA - Imports &amp; Exports'!F8</f>
        <v>77.099999999999994</v>
      </c>
      <c r="E25" s="37">
        <f>'DATA - Imports &amp; Exports'!G8</f>
        <v>85.1</v>
      </c>
      <c r="F25" s="37">
        <f>'DATA - Imports &amp; Exports'!H8</f>
        <v>80.8</v>
      </c>
    </row>
    <row r="26" spans="1:7" x14ac:dyDescent="0.3">
      <c r="A26" s="14" t="s">
        <v>334</v>
      </c>
      <c r="B26" s="37">
        <f>'DATA - Imports &amp; Exports'!D11</f>
        <v>24.2</v>
      </c>
      <c r="C26" s="37">
        <f>'DATA - Imports &amp; Exports'!E11</f>
        <v>37.4</v>
      </c>
      <c r="D26" s="37">
        <f>'DATA - Imports &amp; Exports'!F11</f>
        <v>27.5</v>
      </c>
      <c r="E26" s="37">
        <f>'DATA - Imports &amp; Exports'!G11</f>
        <v>11.1</v>
      </c>
      <c r="F26" s="37">
        <f>'DATA - Imports &amp; Exports'!H11</f>
        <v>47.4</v>
      </c>
    </row>
    <row r="27" spans="1:7" x14ac:dyDescent="0.3">
      <c r="A27" s="14" t="s">
        <v>335</v>
      </c>
      <c r="B27" s="37">
        <f>'DATA - Imports &amp; Exports'!D14</f>
        <v>16.8</v>
      </c>
      <c r="C27" s="37">
        <f>'DATA - Imports &amp; Exports'!E14</f>
        <v>17.399999999999999</v>
      </c>
      <c r="D27" s="37">
        <f>'DATA - Imports &amp; Exports'!F14</f>
        <v>15.9</v>
      </c>
      <c r="E27" s="37">
        <f>'DATA - Imports &amp; Exports'!G14</f>
        <v>3.3</v>
      </c>
      <c r="F27" s="37">
        <f>'DATA - Imports &amp; Exports'!H14</f>
        <v>41.9</v>
      </c>
    </row>
    <row r="28" spans="1:7" x14ac:dyDescent="0.3">
      <c r="A28" s="14" t="s">
        <v>336</v>
      </c>
      <c r="B28" s="37">
        <f>'DATA - Imports &amp; Exports'!D17</f>
        <v>0</v>
      </c>
      <c r="C28" s="37">
        <f>'DATA - Imports &amp; Exports'!E17</f>
        <v>9.9</v>
      </c>
      <c r="D28" s="37">
        <f>'DATA - Imports &amp; Exports'!F17</f>
        <v>23.1</v>
      </c>
      <c r="E28" s="37">
        <f>'DATA - Imports &amp; Exports'!G17</f>
        <v>19.899999999999999</v>
      </c>
      <c r="F28" s="37">
        <f>'DATA - Imports &amp; Exports'!H17</f>
        <v>0</v>
      </c>
    </row>
    <row r="29" spans="1:7" x14ac:dyDescent="0.3">
      <c r="A29" s="14" t="s">
        <v>337</v>
      </c>
      <c r="B29" s="37">
        <f>'DATA - Imports &amp; Exports'!D18</f>
        <v>16.100000000000001</v>
      </c>
      <c r="C29" s="37">
        <f>'DATA - Imports &amp; Exports'!E18</f>
        <v>0</v>
      </c>
      <c r="D29" s="37">
        <f>'DATA - Imports &amp; Exports'!F18</f>
        <v>17.2</v>
      </c>
      <c r="E29" s="37">
        <f>'DATA - Imports &amp; Exports'!G18</f>
        <v>0</v>
      </c>
      <c r="F29" s="37">
        <f>'DATA - Imports &amp; Exports'!H18</f>
        <v>17</v>
      </c>
    </row>
    <row r="30" spans="1:7" x14ac:dyDescent="0.3">
      <c r="A30" s="14" t="s">
        <v>338</v>
      </c>
      <c r="B30" s="37">
        <f>'DATA - Imports &amp; Exports'!D35-SUM(B24:B29)</f>
        <v>20.900000000000006</v>
      </c>
      <c r="C30" s="37">
        <f>'DATA - Imports &amp; Exports'!E35-SUM(C24:C29)</f>
        <v>25.300000000000011</v>
      </c>
      <c r="D30" s="37">
        <f>'DATA - Imports &amp; Exports'!F35-SUM(D24:D29)</f>
        <v>49.100000000000023</v>
      </c>
      <c r="E30" s="37">
        <f>'DATA - Imports &amp; Exports'!G35-SUM(E24:E29)</f>
        <v>3.3000000000000114</v>
      </c>
      <c r="F30" s="37">
        <f>'DATA - Imports &amp; Exports'!H35-SUM(F24:F29)</f>
        <v>4.6999999999999886</v>
      </c>
    </row>
    <row r="31" spans="1:7" x14ac:dyDescent="0.3">
      <c r="A31" s="19" t="s">
        <v>339</v>
      </c>
      <c r="B31" s="20">
        <f>'DATA - Imports &amp; Exports'!D35</f>
        <v>238.10000000000002</v>
      </c>
      <c r="C31" s="20">
        <f>'DATA - Imports &amp; Exports'!E35</f>
        <v>208.00000000000003</v>
      </c>
      <c r="D31" s="20">
        <f>'DATA - Imports &amp; Exports'!F35</f>
        <v>338.6</v>
      </c>
      <c r="E31" s="20">
        <f>'DATA - Imports &amp; Exports'!G35</f>
        <v>226.90000000000003</v>
      </c>
      <c r="F31" s="20">
        <f>'DATA - Imports &amp; Exports'!H35</f>
        <v>264.89999999999998</v>
      </c>
    </row>
  </sheetData>
  <mergeCells count="6">
    <mergeCell ref="A1:G1"/>
    <mergeCell ref="A17:G17"/>
    <mergeCell ref="A18:G18"/>
    <mergeCell ref="A20:G20"/>
    <mergeCell ref="A2:G2"/>
    <mergeCell ref="A19:G19"/>
  </mergeCells>
  <pageMargins left="0.75" right="0.75" top="1" bottom="1" header="0.5" footer="0.5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1F7A6B"/>
  </sheetPr>
  <dimension ref="A1:I62"/>
  <sheetViews>
    <sheetView showGridLines="0" workbookViewId="0">
      <pane xSplit="1" ySplit="11" topLeftCell="B12" activePane="bottomRight" state="frozen"/>
      <selection pane="topRight"/>
      <selection pane="bottomLeft"/>
      <selection pane="bottomRight" sqref="A1:I1"/>
    </sheetView>
  </sheetViews>
  <sheetFormatPr defaultRowHeight="14.4" x14ac:dyDescent="0.3"/>
  <cols>
    <col min="1" max="1" width="7" customWidth="1"/>
    <col min="2" max="4" width="11" customWidth="1"/>
    <col min="5" max="5" width="12" customWidth="1"/>
    <col min="6" max="9" width="15" customWidth="1"/>
  </cols>
  <sheetData>
    <row r="1" spans="1:9" ht="24" customHeight="1" x14ac:dyDescent="0.3">
      <c r="A1" s="47" t="s">
        <v>340</v>
      </c>
      <c r="B1" s="48"/>
      <c r="C1" s="48"/>
      <c r="D1" s="48"/>
      <c r="E1" s="48"/>
      <c r="F1" s="48"/>
      <c r="G1" s="48"/>
      <c r="H1" s="48"/>
      <c r="I1" s="48"/>
    </row>
    <row r="2" spans="1:9" x14ac:dyDescent="0.3">
      <c r="A2" s="50" t="s">
        <v>341</v>
      </c>
      <c r="B2" s="48"/>
      <c r="C2" s="48"/>
      <c r="D2" s="48"/>
      <c r="E2" s="48"/>
      <c r="F2" s="48"/>
      <c r="G2" s="48"/>
      <c r="H2" s="48"/>
      <c r="I2" s="48"/>
    </row>
    <row r="4" spans="1:9" x14ac:dyDescent="0.3">
      <c r="A4" s="2" t="s">
        <v>342</v>
      </c>
    </row>
    <row r="5" spans="1:9" x14ac:dyDescent="0.3">
      <c r="A5" s="8" t="s">
        <v>343</v>
      </c>
      <c r="B5" s="8" t="s">
        <v>344</v>
      </c>
      <c r="C5" s="8" t="s">
        <v>345</v>
      </c>
    </row>
    <row r="6" spans="1:9" x14ac:dyDescent="0.3">
      <c r="A6" s="14" t="s">
        <v>346</v>
      </c>
      <c r="B6" s="26">
        <v>0.66</v>
      </c>
      <c r="C6" s="26">
        <v>0</v>
      </c>
    </row>
    <row r="7" spans="1:9" x14ac:dyDescent="0.3">
      <c r="A7" s="14" t="s">
        <v>347</v>
      </c>
      <c r="B7" s="26">
        <v>0.93</v>
      </c>
      <c r="C7" s="26">
        <v>0.45</v>
      </c>
    </row>
    <row r="8" spans="1:9" x14ac:dyDescent="0.3">
      <c r="A8" s="14" t="s">
        <v>348</v>
      </c>
      <c r="B8" s="26">
        <v>0.8</v>
      </c>
      <c r="C8" s="26">
        <v>0.7</v>
      </c>
    </row>
    <row r="10" spans="1:9" x14ac:dyDescent="0.3">
      <c r="A10" s="2" t="s">
        <v>349</v>
      </c>
    </row>
    <row r="11" spans="1:9" x14ac:dyDescent="0.3">
      <c r="A11" s="8" t="s">
        <v>350</v>
      </c>
      <c r="B11" s="8" t="s">
        <v>351</v>
      </c>
      <c r="C11" s="8" t="s">
        <v>352</v>
      </c>
      <c r="D11" s="8" t="s">
        <v>353</v>
      </c>
      <c r="E11" s="8" t="s">
        <v>354</v>
      </c>
      <c r="F11" s="8" t="s">
        <v>355</v>
      </c>
      <c r="G11" s="8" t="s">
        <v>356</v>
      </c>
      <c r="H11" s="8" t="s">
        <v>357</v>
      </c>
      <c r="I11" s="8" t="s">
        <v>358</v>
      </c>
    </row>
    <row r="12" spans="1:9" x14ac:dyDescent="0.3">
      <c r="A12" s="33" t="s">
        <v>192</v>
      </c>
      <c r="B12" s="16">
        <v>1784</v>
      </c>
      <c r="C12" s="16">
        <v>1868</v>
      </c>
      <c r="D12" s="16">
        <v>1025</v>
      </c>
      <c r="E12" s="24">
        <f t="shared" ref="E12:E23" si="0">B12+C12+D12</f>
        <v>4677</v>
      </c>
      <c r="F12" s="24">
        <f t="shared" ref="F12:F23" si="1">B12*$B$6+C12*$B$7+D12*$B$8</f>
        <v>3734.6800000000003</v>
      </c>
      <c r="G12" s="24">
        <f t="shared" ref="G12:G23" si="2">B12*$C$6+C12*$C$7+D12*$C$8</f>
        <v>1558.1</v>
      </c>
      <c r="H12" s="24">
        <f t="shared" ref="H12:H23" si="3">C12*$B$7</f>
        <v>1737.24</v>
      </c>
      <c r="I12" s="24">
        <f t="shared" ref="I12:I23" si="4">C12*$C$7</f>
        <v>840.6</v>
      </c>
    </row>
    <row r="13" spans="1:9" x14ac:dyDescent="0.3">
      <c r="A13" s="33" t="s">
        <v>193</v>
      </c>
      <c r="B13" s="16">
        <v>1758</v>
      </c>
      <c r="C13" s="16">
        <v>1782</v>
      </c>
      <c r="D13" s="16">
        <v>966</v>
      </c>
      <c r="E13" s="24">
        <f t="shared" si="0"/>
        <v>4506</v>
      </c>
      <c r="F13" s="24">
        <f t="shared" si="1"/>
        <v>3590.34</v>
      </c>
      <c r="G13" s="24">
        <f t="shared" si="2"/>
        <v>1478.1</v>
      </c>
      <c r="H13" s="24">
        <f t="shared" si="3"/>
        <v>1657.26</v>
      </c>
      <c r="I13" s="24">
        <f t="shared" si="4"/>
        <v>801.9</v>
      </c>
    </row>
    <row r="14" spans="1:9" x14ac:dyDescent="0.3">
      <c r="A14" s="33" t="s">
        <v>194</v>
      </c>
      <c r="B14" s="16">
        <v>1802</v>
      </c>
      <c r="C14" s="16">
        <v>1856</v>
      </c>
      <c r="D14" s="16">
        <v>1004</v>
      </c>
      <c r="E14" s="24">
        <f t="shared" si="0"/>
        <v>4662</v>
      </c>
      <c r="F14" s="24">
        <f t="shared" si="1"/>
        <v>3718.6000000000004</v>
      </c>
      <c r="G14" s="24">
        <f t="shared" si="2"/>
        <v>1538</v>
      </c>
      <c r="H14" s="24">
        <f t="shared" si="3"/>
        <v>1726.0800000000002</v>
      </c>
      <c r="I14" s="24">
        <f t="shared" si="4"/>
        <v>835.2</v>
      </c>
    </row>
    <row r="15" spans="1:9" x14ac:dyDescent="0.3">
      <c r="A15" s="33" t="s">
        <v>195</v>
      </c>
      <c r="B15" s="16">
        <v>1767</v>
      </c>
      <c r="C15" s="16">
        <v>1868</v>
      </c>
      <c r="D15" s="16">
        <v>921</v>
      </c>
      <c r="E15" s="24">
        <f t="shared" si="0"/>
        <v>4556</v>
      </c>
      <c r="F15" s="24">
        <f t="shared" si="1"/>
        <v>3640.26</v>
      </c>
      <c r="G15" s="24">
        <f t="shared" si="2"/>
        <v>1485.3</v>
      </c>
      <c r="H15" s="24">
        <f t="shared" si="3"/>
        <v>1737.24</v>
      </c>
      <c r="I15" s="24">
        <f t="shared" si="4"/>
        <v>840.6</v>
      </c>
    </row>
    <row r="16" spans="1:9" x14ac:dyDescent="0.3">
      <c r="A16" s="33" t="s">
        <v>196</v>
      </c>
      <c r="B16" s="16">
        <v>1712</v>
      </c>
      <c r="C16" s="16">
        <v>2005</v>
      </c>
      <c r="D16" s="16">
        <v>921</v>
      </c>
      <c r="E16" s="24">
        <f t="shared" si="0"/>
        <v>4638</v>
      </c>
      <c r="F16" s="24">
        <f t="shared" si="1"/>
        <v>3731.3700000000003</v>
      </c>
      <c r="G16" s="24">
        <f t="shared" si="2"/>
        <v>1546.9499999999998</v>
      </c>
      <c r="H16" s="24">
        <f t="shared" si="3"/>
        <v>1864.65</v>
      </c>
      <c r="I16" s="24">
        <f t="shared" si="4"/>
        <v>902.25</v>
      </c>
    </row>
    <row r="17" spans="1:9" x14ac:dyDescent="0.3">
      <c r="A17" s="33" t="s">
        <v>359</v>
      </c>
      <c r="B17" s="16">
        <v>1742</v>
      </c>
      <c r="C17" s="16">
        <v>1953</v>
      </c>
      <c r="D17" s="16">
        <v>868</v>
      </c>
      <c r="E17" s="24">
        <f t="shared" si="0"/>
        <v>4563</v>
      </c>
      <c r="F17" s="24">
        <f t="shared" si="1"/>
        <v>3660.4100000000003</v>
      </c>
      <c r="G17" s="24">
        <f t="shared" si="2"/>
        <v>1486.4499999999998</v>
      </c>
      <c r="H17" s="24">
        <f t="shared" si="3"/>
        <v>1816.2900000000002</v>
      </c>
      <c r="I17" s="24">
        <f t="shared" si="4"/>
        <v>878.85</v>
      </c>
    </row>
    <row r="18" spans="1:9" x14ac:dyDescent="0.3">
      <c r="A18" s="33" t="s">
        <v>360</v>
      </c>
      <c r="B18" s="16">
        <v>1762</v>
      </c>
      <c r="C18" s="16">
        <v>1970</v>
      </c>
      <c r="D18" s="16">
        <v>843</v>
      </c>
      <c r="E18" s="24">
        <f t="shared" si="0"/>
        <v>4575</v>
      </c>
      <c r="F18" s="24">
        <f t="shared" si="1"/>
        <v>3669.4200000000005</v>
      </c>
      <c r="G18" s="24">
        <f t="shared" si="2"/>
        <v>1476.6</v>
      </c>
      <c r="H18" s="24">
        <f t="shared" si="3"/>
        <v>1832.1000000000001</v>
      </c>
      <c r="I18" s="24">
        <f t="shared" si="4"/>
        <v>886.5</v>
      </c>
    </row>
    <row r="19" spans="1:9" x14ac:dyDescent="0.3">
      <c r="A19" s="33" t="s">
        <v>361</v>
      </c>
      <c r="B19" s="16">
        <v>1754</v>
      </c>
      <c r="C19" s="16">
        <v>1736</v>
      </c>
      <c r="D19" s="16">
        <v>806</v>
      </c>
      <c r="E19" s="24">
        <f t="shared" si="0"/>
        <v>4296</v>
      </c>
      <c r="F19" s="24">
        <f t="shared" si="1"/>
        <v>3416.92</v>
      </c>
      <c r="G19" s="24">
        <f t="shared" si="2"/>
        <v>1345.4</v>
      </c>
      <c r="H19" s="24">
        <f t="shared" si="3"/>
        <v>1614.48</v>
      </c>
      <c r="I19" s="24">
        <f t="shared" si="4"/>
        <v>781.2</v>
      </c>
    </row>
    <row r="20" spans="1:9" x14ac:dyDescent="0.3">
      <c r="A20" s="33" t="s">
        <v>362</v>
      </c>
      <c r="B20" s="16">
        <v>1691</v>
      </c>
      <c r="C20" s="16">
        <v>1720</v>
      </c>
      <c r="D20" s="16">
        <v>899</v>
      </c>
      <c r="E20" s="24">
        <f t="shared" si="0"/>
        <v>4310</v>
      </c>
      <c r="F20" s="24">
        <f t="shared" si="1"/>
        <v>3434.8599999999997</v>
      </c>
      <c r="G20" s="24">
        <f t="shared" si="2"/>
        <v>1403.3</v>
      </c>
      <c r="H20" s="24">
        <f t="shared" si="3"/>
        <v>1599.6000000000001</v>
      </c>
      <c r="I20" s="24">
        <f t="shared" si="4"/>
        <v>774</v>
      </c>
    </row>
    <row r="21" spans="1:9" x14ac:dyDescent="0.3">
      <c r="A21" s="33" t="s">
        <v>363</v>
      </c>
      <c r="B21" s="16">
        <v>1707</v>
      </c>
      <c r="C21" s="16">
        <v>1593</v>
      </c>
      <c r="D21" s="16">
        <v>1033</v>
      </c>
      <c r="E21" s="24">
        <f t="shared" si="0"/>
        <v>4333</v>
      </c>
      <c r="F21" s="24">
        <f t="shared" si="1"/>
        <v>3434.51</v>
      </c>
      <c r="G21" s="24">
        <f t="shared" si="2"/>
        <v>1439.9499999999998</v>
      </c>
      <c r="H21" s="24">
        <f t="shared" si="3"/>
        <v>1481.49</v>
      </c>
      <c r="I21" s="24">
        <f t="shared" si="4"/>
        <v>716.85</v>
      </c>
    </row>
    <row r="22" spans="1:9" x14ac:dyDescent="0.3">
      <c r="A22" s="33" t="s">
        <v>364</v>
      </c>
      <c r="B22" s="16">
        <v>1809</v>
      </c>
      <c r="C22" s="16">
        <v>1628</v>
      </c>
      <c r="D22" s="16">
        <v>1033</v>
      </c>
      <c r="E22" s="24">
        <f t="shared" si="0"/>
        <v>4470</v>
      </c>
      <c r="F22" s="24">
        <f t="shared" si="1"/>
        <v>3534.3800000000006</v>
      </c>
      <c r="G22" s="24">
        <f t="shared" si="2"/>
        <v>1455.6999999999998</v>
      </c>
      <c r="H22" s="24">
        <f t="shared" si="3"/>
        <v>1514.0400000000002</v>
      </c>
      <c r="I22" s="24">
        <f t="shared" si="4"/>
        <v>732.6</v>
      </c>
    </row>
    <row r="23" spans="1:9" x14ac:dyDescent="0.3">
      <c r="A23" s="33" t="s">
        <v>365</v>
      </c>
      <c r="B23" s="16">
        <v>1820</v>
      </c>
      <c r="C23" s="16">
        <v>1618</v>
      </c>
      <c r="D23" s="16">
        <v>1051</v>
      </c>
      <c r="E23" s="24">
        <f t="shared" si="0"/>
        <v>4489</v>
      </c>
      <c r="F23" s="24">
        <f t="shared" si="1"/>
        <v>3546.7400000000002</v>
      </c>
      <c r="G23" s="24">
        <f t="shared" si="2"/>
        <v>1463.8</v>
      </c>
      <c r="H23" s="24">
        <f t="shared" si="3"/>
        <v>1504.74</v>
      </c>
      <c r="I23" s="24">
        <f t="shared" si="4"/>
        <v>728.1</v>
      </c>
    </row>
    <row r="24" spans="1:9" x14ac:dyDescent="0.3">
      <c r="A24" s="33" t="s">
        <v>366</v>
      </c>
      <c r="B24" s="22">
        <f t="shared" ref="B24:I24" si="5">AVERAGE(B12:B23)</f>
        <v>1759</v>
      </c>
      <c r="C24" s="22">
        <f t="shared" si="5"/>
        <v>1799.75</v>
      </c>
      <c r="D24" s="22">
        <f t="shared" si="5"/>
        <v>947.5</v>
      </c>
      <c r="E24" s="22">
        <f t="shared" si="5"/>
        <v>4506.25</v>
      </c>
      <c r="F24" s="22">
        <f t="shared" si="5"/>
        <v>3592.7075</v>
      </c>
      <c r="G24" s="22">
        <f t="shared" si="5"/>
        <v>1473.1374999999998</v>
      </c>
      <c r="H24" s="22">
        <f t="shared" si="5"/>
        <v>1673.7675000000002</v>
      </c>
      <c r="I24" s="22">
        <f t="shared" si="5"/>
        <v>809.88749999999993</v>
      </c>
    </row>
    <row r="62" spans="1:9" x14ac:dyDescent="0.3">
      <c r="A62" s="50" t="s">
        <v>367</v>
      </c>
      <c r="B62" s="48"/>
      <c r="C62" s="48"/>
      <c r="D62" s="48"/>
      <c r="E62" s="48"/>
      <c r="F62" s="48"/>
      <c r="G62" s="48"/>
      <c r="H62" s="48"/>
      <c r="I62" s="48"/>
    </row>
  </sheetData>
  <mergeCells count="3">
    <mergeCell ref="A1:I1"/>
    <mergeCell ref="A62:I62"/>
    <mergeCell ref="A2:I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Read Me &amp; Sources</vt:lpstr>
      <vt:lpstr>DATA - Imports &amp; Exports</vt:lpstr>
      <vt:lpstr>DATA - Pipelines</vt:lpstr>
      <vt:lpstr>DATA - Refiner Demand</vt:lpstr>
      <vt:lpstr>SOUR - Supply</vt:lpstr>
      <vt:lpstr>SOUR - Balance</vt:lpstr>
      <vt:lpstr>HEAVY - Refiners</vt:lpstr>
      <vt:lpstr>HEAVY - Balance</vt:lpstr>
      <vt:lpstr>Seasonal Normal (10-yr)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George Johnson</cp:lastModifiedBy>
  <dcterms:created xsi:type="dcterms:W3CDTF">2026-06-12T13:52:06Z</dcterms:created>
  <dcterms:modified xsi:type="dcterms:W3CDTF">2026-06-12T15:13:35Z</dcterms:modified>
</cp:coreProperties>
</file>